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5355" windowHeight="8730" tabRatio="500"/>
  </bookViews>
  <sheets>
    <sheet name="Dashboard" sheetId="1" r:id="rId1"/>
    <sheet name="Risk_Dashboard" sheetId="2" r:id="rId2"/>
    <sheet name="Data_PL" sheetId="3" r:id="rId3"/>
    <sheet name="Data_BS" sheetId="4" r:id="rId4"/>
    <sheet name="Data_CF" sheetId="5" r:id="rId5"/>
    <sheet name="Data_Ratios" sheetId="6" r:id="rId6"/>
    <sheet name="Data_Quarterly" sheetId="7" r:id="rId7"/>
    <sheet name="Data_Shareholding" sheetId="8" r:id="rId8"/>
    <sheet name="Data_Risk" sheetId="9" r:id="rId9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4" i="9" l="1"/>
  <c r="E48" i="2" s="1"/>
  <c r="B33" i="9"/>
  <c r="B31" i="9"/>
  <c r="B32" i="9" s="1"/>
  <c r="B35" i="9" s="1"/>
  <c r="B29" i="9"/>
  <c r="B30" i="9" s="1"/>
  <c r="B28" i="9"/>
  <c r="B27" i="9"/>
  <c r="M22" i="9"/>
  <c r="H22" i="9"/>
  <c r="E22" i="9"/>
  <c r="M21" i="9"/>
  <c r="L21" i="9"/>
  <c r="K21" i="9"/>
  <c r="J21" i="9"/>
  <c r="I21" i="9"/>
  <c r="H21" i="9"/>
  <c r="G21" i="9"/>
  <c r="F21" i="9"/>
  <c r="E21" i="9"/>
  <c r="D21" i="9"/>
  <c r="C21" i="9"/>
  <c r="B21" i="9"/>
  <c r="M20" i="9"/>
  <c r="L20" i="9"/>
  <c r="K20" i="9"/>
  <c r="J20" i="9"/>
  <c r="I20" i="9"/>
  <c r="H20" i="9"/>
  <c r="G20" i="9"/>
  <c r="F20" i="9"/>
  <c r="E20" i="9"/>
  <c r="D20" i="9"/>
  <c r="C20" i="9"/>
  <c r="B20" i="9"/>
  <c r="M19" i="9"/>
  <c r="L19" i="9"/>
  <c r="K19" i="9"/>
  <c r="J19" i="9"/>
  <c r="I19" i="9"/>
  <c r="H19" i="9"/>
  <c r="G19" i="9"/>
  <c r="F19" i="9"/>
  <c r="E19" i="9"/>
  <c r="D19" i="9"/>
  <c r="C19" i="9"/>
  <c r="B19" i="9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N16" i="4"/>
  <c r="M16" i="4"/>
  <c r="L16" i="4"/>
  <c r="L22" i="9" s="1"/>
  <c r="K16" i="4"/>
  <c r="K22" i="9" s="1"/>
  <c r="J16" i="4"/>
  <c r="J22" i="9" s="1"/>
  <c r="I16" i="4"/>
  <c r="I22" i="9" s="1"/>
  <c r="H16" i="4"/>
  <c r="G16" i="4"/>
  <c r="G22" i="9" s="1"/>
  <c r="F16" i="4"/>
  <c r="F22" i="9" s="1"/>
  <c r="E16" i="4"/>
  <c r="D16" i="4"/>
  <c r="D22" i="9" s="1"/>
  <c r="C16" i="4"/>
  <c r="C22" i="9" s="1"/>
  <c r="B16" i="4"/>
  <c r="B22" i="9" s="1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9" i="4"/>
  <c r="M9" i="4"/>
  <c r="L9" i="4"/>
  <c r="K9" i="4"/>
  <c r="J9" i="4"/>
  <c r="I9" i="4"/>
  <c r="H9" i="4"/>
  <c r="G9" i="4"/>
  <c r="F9" i="4"/>
  <c r="E9" i="4"/>
  <c r="D9" i="4"/>
  <c r="C9" i="4"/>
  <c r="B9" i="4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E46" i="2"/>
  <c r="E21" i="2"/>
  <c r="E20" i="2"/>
  <c r="E19" i="2"/>
  <c r="E18" i="2"/>
  <c r="E17" i="2"/>
  <c r="E16" i="2"/>
  <c r="E15" i="2"/>
  <c r="E14" i="2"/>
  <c r="E13" i="2"/>
  <c r="G8" i="2"/>
  <c r="F8" i="2"/>
  <c r="E8" i="2"/>
  <c r="D8" i="2"/>
  <c r="C8" i="2"/>
  <c r="B8" i="2"/>
  <c r="E15" i="1"/>
  <c r="D15" i="1"/>
  <c r="C15" i="1"/>
  <c r="B15" i="1"/>
  <c r="G8" i="1"/>
  <c r="F8" i="1"/>
  <c r="E8" i="1"/>
  <c r="D8" i="1"/>
  <c r="C8" i="1"/>
  <c r="B8" i="1"/>
  <c r="B36" i="9" l="1"/>
  <c r="E49" i="2"/>
  <c r="B37" i="9" l="1"/>
  <c r="E51" i="2" s="1"/>
  <c r="E50" i="2"/>
</calcChain>
</file>

<file path=xl/sharedStrings.xml><?xml version="1.0" encoding="utf-8"?>
<sst xmlns="http://schemas.openxmlformats.org/spreadsheetml/2006/main" count="281" uniqueCount="183">
  <si>
    <t>PATEL ENGINEERING LTD  —  FINANCIAL ANALYST DASHBOARD</t>
  </si>
  <si>
    <t>NSE: PATELENG  |  BSE: 531120  |  Sector: Civil Construction (Dams, Tunnels, Roads, Hydro)  |  Data as of 5 Jul 2026 (consolidated, Rs. Crores unless noted)</t>
  </si>
  <si>
    <t>Market Cap (Rs Cr)</t>
  </si>
  <si>
    <t>CMP (Rs)</t>
  </si>
  <si>
    <t>Stock P/E</t>
  </si>
  <si>
    <t>Book Value (Rs)</t>
  </si>
  <si>
    <t>ROCE % (latest)</t>
  </si>
  <si>
    <t>ROE % (latest)</t>
  </si>
  <si>
    <t>Select Financial Year:</t>
  </si>
  <si>
    <t>Mar 2025</t>
  </si>
  <si>
    <t>Revenue (Rs Cr) (selected yr)</t>
  </si>
  <si>
    <t>Net Profit (Rs Cr) (selected yr)</t>
  </si>
  <si>
    <t>Operating Margin % (selected yr)</t>
  </si>
  <si>
    <t>EPS (Rs) (selected yr)</t>
  </si>
  <si>
    <t>TREND ANALYSIS (FY2014 – FY2025 / TTM)</t>
  </si>
  <si>
    <t>HOW TO USE THIS DASHBOARD</t>
  </si>
  <si>
    <t>• Use the gold dropdown cell above to switch the Financial Year and instantly update the four KPI cards.</t>
  </si>
  <si>
    <t>• All charts and KPIs are linked live to the Data_PL, Data_BS, Data_CF, Data_Ratios, Data_Quarterly and Data_Shareholding tabs.</t>
  </si>
  <si>
    <t>• Blue-font cells on data tabs are hardcoded source inputs (from screener.in filings); black-font cells are formulas — edit inputs to refresh the whole workbook.</t>
  </si>
  <si>
    <t>• Add new years/quarters by inserting a column on the relevant Data_ tab; charts use structured ranges so update the chart series range if the data set grows.</t>
  </si>
  <si>
    <t>PATEL ENGINEERING LTD  —  RISK MANAGEMENT DASHBOARD</t>
  </si>
  <si>
    <t>Credit, leverage, liquidity &amp; concentration risk indicators — data as of 5 Jul 2026 (Rs. Crores unless noted)</t>
  </si>
  <si>
    <t>Promoter Pledge %</t>
  </si>
  <si>
    <t>Interest Coverage (TTM)</t>
  </si>
  <si>
    <t>Debt / EBITDA (TTM)</t>
  </si>
  <si>
    <t>Net Debt / Equity</t>
  </si>
  <si>
    <t>Contingent Liabilities (Rs Cr)</t>
  </si>
  <si>
    <t>Quality/Risk Score (/100)</t>
  </si>
  <si>
    <t>RISK SCORECARD</t>
  </si>
  <si>
    <t>Risk Category</t>
  </si>
  <si>
    <t>Value</t>
  </si>
  <si>
    <t>Red Flag Threshold</t>
  </si>
  <si>
    <t>Status</t>
  </si>
  <si>
    <t>Governance / Ownership</t>
  </si>
  <si>
    <t>&gt;50%</t>
  </si>
  <si>
    <t>HIGH</t>
  </si>
  <si>
    <t>Leverage</t>
  </si>
  <si>
    <t>Debt / EBITDA (x)</t>
  </si>
  <si>
    <t>&gt;3.0x</t>
  </si>
  <si>
    <t>Net Debt / Equity (x)</t>
  </si>
  <si>
    <t>&gt;0.5x</t>
  </si>
  <si>
    <t>LOW</t>
  </si>
  <si>
    <t>Solvency</t>
  </si>
  <si>
    <t>Interest Coverage (x)</t>
  </si>
  <si>
    <t>&lt;2.0x</t>
  </si>
  <si>
    <t>Profitability</t>
  </si>
  <si>
    <t>ROCE % (half-year FY26)</t>
  </si>
  <si>
    <t>&lt;10%</t>
  </si>
  <si>
    <t>MEDIUM</t>
  </si>
  <si>
    <t>Liquidity</t>
  </si>
  <si>
    <t>Working Capital % of Assets</t>
  </si>
  <si>
    <t>&gt;70%</t>
  </si>
  <si>
    <t>Cash Quality</t>
  </si>
  <si>
    <t>OCF / EBITDA</t>
  </si>
  <si>
    <t>&lt;60%</t>
  </si>
  <si>
    <t>Contingent Exposure</t>
  </si>
  <si>
    <t>&gt;2000</t>
  </si>
  <si>
    <t>Overall Rating</t>
  </si>
  <si>
    <t>MarketsMojo Score (/100)</t>
  </si>
  <si>
    <t>&lt;50</t>
  </si>
  <si>
    <t>Legend:</t>
  </si>
  <si>
    <t>HIGH risk</t>
  </si>
  <si>
    <t>MEDIUM risk</t>
  </si>
  <si>
    <t>LOW risk</t>
  </si>
  <si>
    <t>LEVERAGE &amp; SOLVENCY TRENDS (FY2014 – FY2025)</t>
  </si>
  <si>
    <t>INTEREST RATE STRESS TEST (adjust the gold cell)</t>
  </si>
  <si>
    <t>Rate shock on borrowings (bps → %):</t>
  </si>
  <si>
    <t>← edit this % on Data_Risk!B25 to test a different shock</t>
  </si>
  <si>
    <t>Base Net Profit, FY25 (Rs Cr)</t>
  </si>
  <si>
    <t>Stressed Net Profit (Rs Cr)</t>
  </si>
  <si>
    <t>Net Profit Impact (Rs Cr)</t>
  </si>
  <si>
    <t>Net Profit Impact (%)</t>
  </si>
  <si>
    <t>KEY RISK COMMENTARY</t>
  </si>
  <si>
    <t>• Governance risk: promoter pledge is very high (86.6%) — in a falling market, lenders enforcing margin calls on pledged shares can accelerate price declines.</t>
  </si>
  <si>
    <t>• Solvency risk: interest coverage sits below the conventional 2.0x safety threshold, meaning a large share of operating profit is consumed by interest payments, leaving little margin for a downturn.</t>
  </si>
  <si>
    <t>• Leverage: Debt/EBITDA of ~3.9x is elevated for a cyclical construction business, though Debt/Equity has been trending down as the company deleverages (see Data_BS borrowings trend).</t>
  </si>
  <si>
    <t>• Liquidity: a very high share of assets is tied up in working capital, typical of EPC/construction contractors but a risk if receivables from government clients are delayed.</t>
  </si>
  <si>
    <t>• Contingent liabilities of ~Rs 2,681 Cr (mostly guarantees/claims typical of large EPC contractors) represent an off-balance-sheet exposure worth monitoring in the notes to accounts.</t>
  </si>
  <si>
    <t>• Use the stress test panel above to gauge Net Profit sensitivity to a rise in borrowing costs — useful for scenario planning in a rising-rate environment.</t>
  </si>
  <si>
    <t>Patel Engineering Ltd — Profit &amp; Loss (Consolidated, Rs. Crores)</t>
  </si>
  <si>
    <t>Source: screener.in (BSE/NSE filings) — retrieved 5 Jul 2026</t>
  </si>
  <si>
    <t>Metric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</si>
  <si>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</si>
  <si>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</si>
  <si>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</si>
  <si>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</si>
  <si>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</si>
  <si>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</si>
  <si>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</si>
  <si>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</si>
  <si>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</si>
  <si>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</si>
  <si>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</si>
  <si>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TTM</t>
  </si>
  <si>
    <t>Sales</t>
  </si>
  <si>
    <t>Expenses</t>
  </si>
  <si>
    <t>Operating Profit</t>
  </si>
  <si>
    <t>Other Income</t>
  </si>
  <si>
    <t>Interest</t>
  </si>
  <si>
    <t>Depreciation</t>
  </si>
  <si>
    <t>Profit Before Tax</t>
  </si>
  <si>
    <t>Tax %</t>
  </si>
  <si>
    <t>Net Profit</t>
  </si>
  <si>
    <t>EPS (Rs)</t>
  </si>
  <si>
    <t>OPM %</t>
  </si>
  <si>
    <t>Net Profit Margin %</t>
  </si>
  <si>
    <t>Patel Engineering Ltd — Balance Sheet (Consolidated, Rs. Crores)</t>
  </si>
  <si>
    <t>Sep 2025</t>
  </si>
  <si>
    <t>Equity Capital</t>
  </si>
  <si>
    <t>Reserves</t>
  </si>
  <si>
    <t>Borrowings</t>
  </si>
  <si>
    <t>Other Liabilities</t>
  </si>
  <si>
    <t>Total Liabilities</t>
  </si>
  <si>
    <t>Fixed Assets</t>
  </si>
  <si>
    <t>Capital WIP</t>
  </si>
  <si>
    <t>Investments</t>
  </si>
  <si>
    <t>Other Assets</t>
  </si>
  <si>
    <t>Total Assets</t>
  </si>
  <si>
    <t>Debt to Equity (x)</t>
  </si>
  <si>
    <t>Patel Engineering Ltd — Cash Flow (Consolidated, Rs. Crores)</t>
  </si>
  <si>
    <t>Cash from Operating Activity</t>
  </si>
  <si>
    <t>Cash from Investing Activity</t>
  </si>
  <si>
    <t>Cash from Financing Activity</t>
  </si>
  <si>
    <t>Net Cash Flow</t>
  </si>
  <si>
    <t>Free Cash Flow</t>
  </si>
  <si>
    <t>Patel Engineering Ltd — Key Ratios (Consolidated)</t>
  </si>
  <si>
    <t>Debtor Days</t>
  </si>
  <si>
    <t>Working Capital Days</t>
  </si>
  <si>
    <t>ROCE %</t>
  </si>
  <si>
    <t>Current Snapshot Ratios</t>
  </si>
  <si>
    <t>Current Price (Rs)</t>
  </si>
  <si>
    <t>Stock P/E (x)</t>
  </si>
  <si>
    <t>Dividend Yield %</t>
  </si>
  <si>
    <t>Face Value (Rs)</t>
  </si>
  <si>
    <t>Patel Engineering Ltd — Quarterly Results (Consolidated, Rs. Crores)</t>
  </si>
  <si>
    <t>Dec 2022</t>
  </si>
  <si>
    <t>Jun 2023</t>
  </si>
  <si>
    <t>Sep 2023</t>
  </si>
  <si>
    <t>Dec 2023</t>
  </si>
  <si>
    <t>Jun 2024</t>
  </si>
  <si>
    <t>Sep 2024</t>
  </si>
  <si>
    <t>Dec 2024</t>
  </si>
  <si>
    <t>Jun 2025</t>
  </si>
  <si>
    <t>Dec 2025</t>
  </si>
  <si>
    <t>Patel Engineering Ltd — Shareholding Pattern (%)</t>
  </si>
  <si>
    <t>Category</t>
  </si>
  <si>
    <t>Promoters</t>
  </si>
  <si>
    <t>FIIs</t>
  </si>
  <si>
    <t>DIIs</t>
  </si>
  <si>
    <t>Public</t>
  </si>
  <si>
    <t>Others</t>
  </si>
  <si>
    <t>Patel Engineering Ltd — Risk Management Data</t>
  </si>
  <si>
    <t>Sources: screener.in, moneyworks4me, samco, marketsmojo — retrieved 5 Jul 2026</t>
  </si>
  <si>
    <t>Point-in-Time Risk Indicators</t>
  </si>
  <si>
    <t>Flag Threshold (Red)</t>
  </si>
  <si>
    <t>Promoter Pledge (% of promoter holding)</t>
  </si>
  <si>
    <t>&gt; 50%</t>
  </si>
  <si>
    <t>&gt; 2000</t>
  </si>
  <si>
    <t>&gt; 0.5x</t>
  </si>
  <si>
    <t>Debt / EBITDA (x, TTM)</t>
  </si>
  <si>
    <t>&gt; 3.0x</t>
  </si>
  <si>
    <t>Interest Coverage Ratio (x, TTM)</t>
  </si>
  <si>
    <t>&lt; 2.0x</t>
  </si>
  <si>
    <t>&lt; 10%</t>
  </si>
  <si>
    <t>Working Capital as % of Total Assets</t>
  </si>
  <si>
    <t>&gt; 70%</t>
  </si>
  <si>
    <t>Operating Cash Conversion (OCF/EBITDA)</t>
  </si>
  <si>
    <t>&lt; 60%</t>
  </si>
  <si>
    <t>MarketsMojo Quality/Risk Score (out of 100)</t>
  </si>
  <si>
    <t>&lt; 50</t>
  </si>
  <si>
    <t>Note: figures are latest available snapshot values (TTM / most recent quarter); see Dashboard sources for citations.</t>
  </si>
  <si>
    <t>Interest Coverage &amp; Leverage Trend (FY, computed)</t>
  </si>
  <si>
    <t>Interest Coverage (EBIT/Interest)</t>
  </si>
  <si>
    <t>Debt / Equity (x)</t>
  </si>
  <si>
    <t>Interest Rate Stress Test (based on FY25 actuals)</t>
  </si>
  <si>
    <t>Assumption: Rate shock on borrowings (bps)</t>
  </si>
  <si>
    <t>Base Borrowings, FY25 (Rs Cr)</t>
  </si>
  <si>
    <t>Additional Interest Cost (Rs Cr)</t>
  </si>
  <si>
    <t>Base Interest, FY25 (Rs Cr)</t>
  </si>
  <si>
    <t>Stressed Interest (Rs Cr)</t>
  </si>
  <si>
    <t>Base PBT, FY25 (Rs Cr)</t>
  </si>
  <si>
    <t>Stressed PBT (Rs Cr)</t>
  </si>
  <si>
    <t>Effective Tax Rate 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</si>
</sst>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\x"/>
    <numFmt numFmtId="165" formatCode="0.0%"/>
    <numFmt numFmtId="166" formatCode="#,##0;\(#,##0\);\-"/>
    <numFmt numFmtId="167" formatCode="#,##0.0"/>
    <numFmt numFmtId="168" formatCode="#,##0.0;\(#,##0.0\)"/>
    <numFmt numFmtId="169" formatCode="0.0%;\(0.0%\)"/>
    <numFmt numFmtId="170" formatCode="0.0%;\(0.0%\);\-"/>
  </numFmts>
  <fonts count="2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595959"/>
      <name val="Arial"/>
      <charset val="1"/>
    </font>
    <font>
      <b/>
      <sz val="20"/>
      <color rgb="FF1F3864"/>
      <name val="Arial"/>
      <charset val="1"/>
    </font>
    <font>
      <b/>
      <sz val="11"/>
      <color rgb="FF1F3864"/>
      <name val="Arial"/>
      <charset val="1"/>
    </font>
    <font>
      <b/>
      <sz val="11"/>
      <color rgb="FF0000FF"/>
      <name val="Arial"/>
      <charset val="1"/>
    </font>
    <font>
      <b/>
      <sz val="18"/>
      <color rgb="FF1F3864"/>
      <name val="Arial"/>
      <charset val="1"/>
    </font>
    <font>
      <b/>
      <sz val="18"/>
      <color rgb="FF1E7145"/>
      <name val="Arial"/>
      <charset val="1"/>
    </font>
    <font>
      <b/>
      <sz val="13"/>
      <color rgb="FF1F3864"/>
      <name val="Arial"/>
      <charset val="1"/>
    </font>
    <font>
      <sz val="9"/>
      <color rgb="FF404040"/>
      <name val="Arial"/>
      <charset val="1"/>
    </font>
    <font>
      <b/>
      <sz val="17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b/>
      <sz val="11"/>
      <color rgb="FFC00000"/>
      <name val="Arial"/>
      <charset val="1"/>
    </font>
    <font>
      <b/>
      <sz val="11"/>
      <color rgb="FF1E7145"/>
      <name val="Arial"/>
      <charset val="1"/>
    </font>
    <font>
      <b/>
      <sz val="11"/>
      <color rgb="FFE5A100"/>
      <name val="Arial"/>
      <charset val="1"/>
    </font>
    <font>
      <i/>
      <sz val="9"/>
      <name val="Arial"/>
      <charset val="1"/>
    </font>
    <font>
      <b/>
      <sz val="9"/>
      <color rgb="FFC00000"/>
      <name val="Arial"/>
      <charset val="1"/>
    </font>
    <font>
      <b/>
      <sz val="9"/>
      <color rgb="FFE5A100"/>
      <name val="Arial"/>
      <charset val="1"/>
    </font>
    <font>
      <b/>
      <sz val="9"/>
      <color rgb="FF1E7145"/>
      <name val="Arial"/>
      <charset val="1"/>
    </font>
    <font>
      <i/>
      <sz val="8"/>
      <color rgb="FF808080"/>
      <name val="Arial"/>
      <charset val="1"/>
    </font>
    <font>
      <b/>
      <sz val="12"/>
      <color rgb="FF1F3864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B0"/>
      </patternFill>
    </fill>
    <fill>
      <patternFill patternType="solid">
        <fgColor rgb="FFF8CBCB"/>
        <bgColor rgb="FFD9D9D9"/>
      </patternFill>
    </fill>
    <fill>
      <patternFill patternType="solid">
        <fgColor rgb="FFC6E8D4"/>
        <bgColor rgb="FFD9E2F3"/>
      </patternFill>
    </fill>
    <fill>
      <patternFill patternType="solid">
        <fgColor rgb="FFFCE4B0"/>
        <bgColor rgb="FFFFF2CC"/>
      </patternFill>
    </fill>
    <fill>
      <patternFill patternType="solid">
        <fgColor rgb="FFD9E2F3"/>
        <bgColor rgb="FFD9D9D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0" fillId="0" borderId="0" xfId="0" applyFont="1" applyBorder="1" applyAlignment="1"/>
    <xf numFmtId="0" fontId="9" fillId="0" borderId="0" xfId="0" applyFont="1" applyBorder="1" applyAlignment="1"/>
    <xf numFmtId="2" fontId="7" fillId="4" borderId="2" xfId="0" applyNumberFormat="1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0" fontId="5" fillId="0" borderId="0" xfId="0" applyFont="1" applyBorder="1" applyAlignment="1"/>
    <xf numFmtId="165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indent="1"/>
    </xf>
    <xf numFmtId="0" fontId="1" fillId="2" borderId="0" xfId="0" applyFont="1" applyFill="1" applyBorder="1" applyAlignment="1">
      <alignment horizontal="left" vertical="center" indent="1"/>
    </xf>
    <xf numFmtId="0" fontId="0" fillId="0" borderId="0" xfId="0" applyAlignment="1"/>
    <xf numFmtId="0" fontId="6" fillId="5" borderId="3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3" fillId="0" borderId="5" xfId="0" applyFont="1" applyBorder="1" applyAlignment="1"/>
    <xf numFmtId="165" fontId="14" fillId="0" borderId="5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17" fillId="7" borderId="5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/>
    </xf>
    <xf numFmtId="3" fontId="14" fillId="0" borderId="5" xfId="0" applyNumberFormat="1" applyFont="1" applyBorder="1" applyAlignment="1">
      <alignment horizontal="center"/>
    </xf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10" fontId="6" fillId="5" borderId="3" xfId="0" applyNumberFormat="1" applyFont="1" applyFill="1" applyBorder="1" applyAlignment="1"/>
    <xf numFmtId="0" fontId="23" fillId="0" borderId="0" xfId="0" applyFont="1" applyAlignment="1"/>
    <xf numFmtId="3" fontId="5" fillId="0" borderId="5" xfId="0" applyNumberFormat="1" applyFont="1" applyBorder="1" applyAlignment="1"/>
    <xf numFmtId="167" fontId="5" fillId="0" borderId="5" xfId="0" applyNumberFormat="1" applyFont="1" applyBorder="1" applyAlignment="1"/>
    <xf numFmtId="168" fontId="16" fillId="0" borderId="5" xfId="0" applyNumberFormat="1" applyFont="1" applyBorder="1" applyAlignment="1"/>
    <xf numFmtId="169" fontId="16" fillId="0" borderId="5" xfId="0" applyNumberFormat="1" applyFont="1" applyBorder="1" applyAlignment="1"/>
    <xf numFmtId="0" fontId="24" fillId="0" borderId="0" xfId="0" applyFont="1" applyAlignment="1"/>
    <xf numFmtId="0" fontId="25" fillId="3" borderId="0" xfId="0" applyFont="1" applyFill="1" applyAlignment="1"/>
    <xf numFmtId="166" fontId="26" fillId="0" borderId="0" xfId="0" applyNumberFormat="1" applyFont="1" applyAlignment="1"/>
    <xf numFmtId="170" fontId="26" fillId="0" borderId="0" xfId="0" applyNumberFormat="1" applyFont="1" applyAlignment="1"/>
    <xf numFmtId="2" fontId="26" fillId="0" borderId="0" xfId="0" applyNumberFormat="1" applyFont="1" applyAlignment="1"/>
    <xf numFmtId="165" fontId="25" fillId="0" borderId="0" xfId="0" applyNumberFormat="1" applyFont="1" applyAlignment="1"/>
    <xf numFmtId="0" fontId="14" fillId="9" borderId="0" xfId="0" applyFont="1" applyFill="1" applyAlignment="1"/>
    <xf numFmtId="166" fontId="14" fillId="9" borderId="0" xfId="0" applyNumberFormat="1" applyFont="1" applyFill="1" applyAlignment="1"/>
    <xf numFmtId="164" fontId="25" fillId="0" borderId="0" xfId="0" applyNumberFormat="1" applyFont="1" applyAlignment="1"/>
    <xf numFmtId="3" fontId="26" fillId="0" borderId="0" xfId="0" applyNumberFormat="1" applyFont="1" applyAlignment="1"/>
    <xf numFmtId="165" fontId="26" fillId="0" borderId="0" xfId="0" applyNumberFormat="1" applyFont="1" applyAlignment="1"/>
    <xf numFmtId="0" fontId="12" fillId="2" borderId="5" xfId="0" applyFont="1" applyFill="1" applyBorder="1" applyAlignment="1"/>
    <xf numFmtId="164" fontId="26" fillId="0" borderId="0" xfId="0" applyNumberFormat="1" applyFont="1" applyAlignment="1"/>
    <xf numFmtId="0" fontId="9" fillId="0" borderId="0" xfId="0" applyFont="1" applyAlignment="1"/>
    <xf numFmtId="0" fontId="13" fillId="3" borderId="0" xfId="0" applyFont="1" applyFill="1" applyAlignment="1"/>
    <xf numFmtId="0" fontId="15" fillId="0" borderId="0" xfId="0" applyFont="1" applyAlignment="1"/>
    <xf numFmtId="164" fontId="13" fillId="0" borderId="0" xfId="0" applyNumberFormat="1" applyFont="1" applyAlignment="1"/>
    <xf numFmtId="0" fontId="3" fillId="0" borderId="0" xfId="0" applyFont="1" applyAlignment="1"/>
    <xf numFmtId="10" fontId="26" fillId="5" borderId="5" xfId="0" applyNumberFormat="1" applyFont="1" applyFill="1" applyBorder="1" applyAlignment="1"/>
    <xf numFmtId="167" fontId="26" fillId="0" borderId="0" xfId="0" applyNumberFormat="1" applyFont="1" applyAlignment="1"/>
    <xf numFmtId="167" fontId="13" fillId="0" borderId="0" xfId="0" applyNumberFormat="1" applyFont="1" applyAlignment="1"/>
    <xf numFmtId="168" fontId="16" fillId="0" borderId="0" xfId="0" applyNumberFormat="1" applyFont="1" applyAlignment="1"/>
    <xf numFmtId="169" fontId="16" fillId="0" borderId="0" xfId="0" applyNumberFormat="1" applyFont="1" applyAlignment="1"/>
    <xf numFmtId="165" fontId="11" fillId="4" borderId="2" xfId="0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3" fontId="11" fillId="4" borderId="2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left" indent="1"/>
    </xf>
    <xf numFmtId="0" fontId="14" fillId="0" borderId="0" xfId="0" applyFont="1" applyBorder="1" applyAlignment="1"/>
    <xf numFmtId="0" fontId="13" fillId="3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B3B3B3"/>
      <rgbColor rgb="FFFF00FF"/>
      <rgbColor rgb="FF00FFFF"/>
      <rgbColor rgb="FFCC7C3A"/>
      <rgbColor rgb="FF87A44B"/>
      <rgbColor rgb="FF000080"/>
      <rgbColor rgb="FF809B49"/>
      <rgbColor rgb="FF8064A2"/>
      <rgbColor rgb="FF1E7145"/>
      <rgbColor rgb="FFBFBFBF"/>
      <rgbColor rgb="FF808080"/>
      <rgbColor rgb="FF8EA5CA"/>
      <rgbColor rgb="FF9F423F"/>
      <rgbColor rgb="FFFFF2CC"/>
      <rgbColor rgb="FFF2F2F2"/>
      <rgbColor rgb="FF660066"/>
      <rgbColor rgb="FFF79646"/>
      <rgbColor rgb="FF2E5EAA"/>
      <rgbColor rgb="FFD9D9D9"/>
      <rgbColor rgb="FF000080"/>
      <rgbColor rgb="FFFF00FF"/>
      <rgbColor rgb="FFCC8F8E"/>
      <rgbColor rgb="FF00FFFF"/>
      <rgbColor rgb="FF878787"/>
      <rgbColor rgb="FF800000"/>
      <rgbColor rgb="FF3D97AF"/>
      <rgbColor rgb="FF0000FF"/>
      <rgbColor rgb="FF4F81BD"/>
      <rgbColor rgb="FFD9E2F3"/>
      <rgbColor rgb="FFC6E8D4"/>
      <rgbColor rgb="FFFCE4B0"/>
      <rgbColor rgb="FF8CBFD2"/>
      <rgbColor rgb="FFF5B089"/>
      <rgbColor rgb="FFAABAD7"/>
      <rgbColor rgb="FFF8CBCB"/>
      <rgbColor rgb="FF426FA6"/>
      <rgbColor rgb="FF4BACC6"/>
      <rgbColor rgb="FF9BBB59"/>
      <rgbColor rgb="FFB3C992"/>
      <rgbColor rgb="FFE5A100"/>
      <rgbColor rgb="FFDB8238"/>
      <rgbColor rgb="FF6F568D"/>
      <rgbColor rgb="FFA596B9"/>
      <rgbColor rgb="FF1F3864"/>
      <rgbColor rgb="FF3E8EA4"/>
      <rgbColor rgb="FF003300"/>
      <rgbColor rgb="FF595959"/>
      <rgbColor rgb="FFC0504D"/>
      <rgbColor rgb="FFAA433F"/>
      <rgbColor rgb="FF6A528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Borrowings Trend (Rs Cr) — Deleveraging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Borrowings</c:v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Data_BS!$B$7</c:f>
              <c:numCache>
                <c:formatCode>#,##0;\(#,##0\);\-</c:formatCode>
                <c:ptCount val="1"/>
                <c:pt idx="0">
                  <c:v>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4-4445-966C-0B7A8D7FDBEC}"/>
            </c:ext>
          </c:extLst>
        </c:ser>
        <c:ser>
          <c:idx val="1"/>
          <c:order val="1"/>
          <c:spPr>
            <a:solidFill>
              <a:srgbClr val="9F423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Data_BS!$C$7</c:f>
              <c:numCache>
                <c:formatCode>#,##0;\(#,##0\);\-</c:formatCode>
                <c:ptCount val="1"/>
                <c:pt idx="0">
                  <c:v>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4-4445-966C-0B7A8D7FDBEC}"/>
            </c:ext>
          </c:extLst>
        </c:ser>
        <c:ser>
          <c:idx val="2"/>
          <c:order val="2"/>
          <c:spPr>
            <a:solidFill>
              <a:srgbClr val="809B4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Data_BS!$D$7</c:f>
              <c:numCache>
                <c:formatCode>#,##0;\(#,##0\);\-</c:formatCode>
                <c:ptCount val="1"/>
                <c:pt idx="0">
                  <c:v>5395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4-4445-966C-0B7A8D7FDBEC}"/>
            </c:ext>
          </c:extLst>
        </c:ser>
        <c:ser>
          <c:idx val="3"/>
          <c:order val="3"/>
          <c:spPr>
            <a:solidFill>
              <a:srgbClr val="6A52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Data_BS!$E$7</c:f>
              <c:numCache>
                <c:formatCode>#,##0;\(#,##0\);\-</c:formatCode>
                <c:ptCount val="1"/>
                <c:pt idx="0">
                  <c:v>4982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4-4445-966C-0B7A8D7FDBEC}"/>
            </c:ext>
          </c:extLst>
        </c:ser>
        <c:ser>
          <c:idx val="4"/>
          <c:order val="4"/>
          <c:spPr>
            <a:solidFill>
              <a:srgbClr val="3E8EA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Data_BS!$F$7</c:f>
              <c:numCache>
                <c:formatCode>#,##0;\(#,##0\);\-</c:formatCode>
                <c:ptCount val="1"/>
                <c:pt idx="0">
                  <c:v>2910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F4-4445-966C-0B7A8D7FDBEC}"/>
            </c:ext>
          </c:extLst>
        </c:ser>
        <c:ser>
          <c:idx val="5"/>
          <c:order val="5"/>
          <c:spPr>
            <a:solidFill>
              <a:srgbClr val="CC7C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Data_BS!$G$7</c:f>
              <c:numCache>
                <c:formatCode>#,##0;\(#,##0\);\-</c:formatCode>
                <c:ptCount val="1"/>
                <c:pt idx="0">
                  <c:v>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F4-4445-966C-0B7A8D7FDBEC}"/>
            </c:ext>
          </c:extLst>
        </c:ser>
        <c:ser>
          <c:idx val="6"/>
          <c:order val="6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Data_BS!$H$7</c:f>
              <c:numCache>
                <c:formatCode>#,##0;\(#,##0\);\-</c:formatCode>
                <c:ptCount val="1"/>
                <c:pt idx="0">
                  <c:v>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F4-4445-966C-0B7A8D7FDBEC}"/>
            </c:ext>
          </c:extLst>
        </c:ser>
        <c:ser>
          <c:idx val="7"/>
          <c:order val="7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Data_BS!$I$7</c:f>
              <c:numCache>
                <c:formatCode>#,##0;\(#,##0\);\-</c:formatCode>
                <c:ptCount val="1"/>
                <c:pt idx="0">
                  <c:v>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F4-4445-966C-0B7A8D7FDBEC}"/>
            </c:ext>
          </c:extLst>
        </c:ser>
        <c:ser>
          <c:idx val="8"/>
          <c:order val="8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Data_BS!$J$7</c:f>
              <c:numCache>
                <c:formatCode>#,##0;\(#,##0\);\-</c:formatCode>
                <c:ptCount val="1"/>
                <c:pt idx="0">
                  <c:v>2292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F4-4445-966C-0B7A8D7FDBEC}"/>
            </c:ext>
          </c:extLst>
        </c:ser>
        <c:ser>
          <c:idx val="9"/>
          <c:order val="9"/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Data_BS!$K$7</c:f>
              <c:numCache>
                <c:formatCode>#,##0;\(#,##0\);\-</c:formatCode>
                <c:ptCount val="1"/>
                <c:pt idx="0">
                  <c:v>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F4-4445-966C-0B7A8D7FDBEC}"/>
            </c:ext>
          </c:extLst>
        </c:ser>
        <c:ser>
          <c:idx val="10"/>
          <c:order val="10"/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Data_BS!$L$7</c:f>
              <c:numCache>
                <c:formatCode>#,##0;\(#,##0\);\-</c:formatCode>
                <c:ptCount val="1"/>
                <c:pt idx="0">
                  <c:v>1910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F4-4445-966C-0B7A8D7FDBEC}"/>
            </c:ext>
          </c:extLst>
        </c:ser>
        <c:ser>
          <c:idx val="11"/>
          <c:order val="11"/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Data_BS!$M$7</c:f>
              <c:numCache>
                <c:formatCode>#,##0;\(#,##0\);\-</c:formatCode>
                <c:ptCount val="1"/>
                <c:pt idx="0">
                  <c:v>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2F4-4445-966C-0B7A8D7FDBEC}"/>
            </c:ext>
          </c:extLst>
        </c:ser>
        <c:ser>
          <c:idx val="12"/>
          <c:order val="12"/>
          <c:spPr>
            <a:solidFill>
              <a:srgbClr val="AABAD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Data_BS!$B$4:$N$4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Sep 2025</c:v>
                </c:pt>
              </c:strCache>
            </c:strRef>
          </c:cat>
          <c:val>
            <c:numRef>
              <c:f>Data_BS!$N$7</c:f>
              <c:numCache>
                <c:formatCode>#,##0;\(#,##0\);\-</c:formatCode>
                <c:ptCount val="1"/>
                <c:pt idx="0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F4-4445-966C-0B7A8D7FD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62299"/>
        <c:axId val="33651768"/>
      </c:barChart>
      <c:catAx>
        <c:axId val="373622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51768"/>
        <c:crosses val="autoZero"/>
        <c:auto val="1"/>
        <c:lblAlgn val="ctr"/>
        <c:lblOffset val="100"/>
        <c:noMultiLvlLbl val="0"/>
      </c:catAx>
      <c:valAx>
        <c:axId val="33651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3622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Quarterly Revenue Trend (Rs Cr)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Quarterly Sales</c:v>
          </c:tx>
          <c:spPr>
            <a:solidFill>
              <a:srgbClr val="2E5EA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Data_Quarterly!$B$5</c:f>
              <c:numCache>
                <c:formatCode>#,##0;\(#,##0\);\-</c:formatCode>
                <c:ptCount val="1"/>
                <c:pt idx="0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D-4F0F-BA8D-9B31E3307582}"/>
            </c:ext>
          </c:extLst>
        </c:ser>
        <c:ser>
          <c:idx val="1"/>
          <c:order val="1"/>
          <c:spPr>
            <a:solidFill>
              <a:srgbClr val="9F423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Data_Quarterly!$C$5</c:f>
              <c:numCache>
                <c:formatCode>#,##0;\(#,##0\);\-</c:formatCode>
                <c:ptCount val="1"/>
                <c:pt idx="0">
                  <c:v>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4D-4F0F-BA8D-9B31E3307582}"/>
            </c:ext>
          </c:extLst>
        </c:ser>
        <c:ser>
          <c:idx val="2"/>
          <c:order val="2"/>
          <c:spPr>
            <a:solidFill>
              <a:srgbClr val="809B4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Data_Quarterly!$D$5</c:f>
              <c:numCache>
                <c:formatCode>#,##0;\(#,##0\);\-</c:formatCode>
                <c:ptCount val="1"/>
                <c:pt idx="0">
                  <c:v>1119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4D-4F0F-BA8D-9B31E3307582}"/>
            </c:ext>
          </c:extLst>
        </c:ser>
        <c:ser>
          <c:idx val="3"/>
          <c:order val="3"/>
          <c:spPr>
            <a:solidFill>
              <a:srgbClr val="6A52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Data_Quarterly!$E$5</c:f>
              <c:numCache>
                <c:formatCode>#,##0;\(#,##0\);\-</c:formatCode>
                <c:ptCount val="1"/>
                <c:pt idx="0">
                  <c:v>1021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4D-4F0F-BA8D-9B31E3307582}"/>
            </c:ext>
          </c:extLst>
        </c:ser>
        <c:ser>
          <c:idx val="4"/>
          <c:order val="4"/>
          <c:spPr>
            <a:solidFill>
              <a:srgbClr val="3E8EA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Data_Quarterly!$F$5</c:f>
              <c:numCache>
                <c:formatCode>#,##0;\(#,##0\);\-</c:formatCode>
                <c:ptCount val="1"/>
                <c:pt idx="0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4D-4F0F-BA8D-9B31E3307582}"/>
            </c:ext>
          </c:extLst>
        </c:ser>
        <c:ser>
          <c:idx val="5"/>
          <c:order val="5"/>
          <c:spPr>
            <a:solidFill>
              <a:srgbClr val="CC7C3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Data_Quarterly!$G$5</c:f>
              <c:numCache>
                <c:formatCode>#,##0;\(#,##0\);\-</c:formatCode>
                <c:ptCount val="1"/>
                <c:pt idx="0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4D-4F0F-BA8D-9B31E3307582}"/>
            </c:ext>
          </c:extLst>
        </c:ser>
        <c:ser>
          <c:idx val="6"/>
          <c:order val="6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Data_Quarterly!$H$5</c:f>
              <c:numCache>
                <c:formatCode>#,##0;\(#,##0\);\-</c:formatCode>
                <c:ptCount val="1"/>
                <c:pt idx="0">
                  <c:v>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4D-4F0F-BA8D-9B31E3307582}"/>
            </c:ext>
          </c:extLst>
        </c:ser>
        <c:ser>
          <c:idx val="7"/>
          <c:order val="7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Data_Quarterly!$I$5</c:f>
              <c:numCache>
                <c:formatCode>#,##0;\(#,##0\);\-</c:formatCode>
                <c:ptCount val="1"/>
                <c:pt idx="0">
                  <c:v>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4D-4F0F-BA8D-9B31E3307582}"/>
            </c:ext>
          </c:extLst>
        </c:ser>
        <c:ser>
          <c:idx val="8"/>
          <c:order val="8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Data_Quarterly!$J$5</c:f>
              <c:numCache>
                <c:formatCode>#,##0;\(#,##0\);\-</c:formatCode>
                <c:ptCount val="1"/>
                <c:pt idx="0">
                  <c:v>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4D-4F0F-BA8D-9B31E3307582}"/>
            </c:ext>
          </c:extLst>
        </c:ser>
        <c:ser>
          <c:idx val="9"/>
          <c:order val="9"/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Data_Quarterly!$K$5</c:f>
              <c:numCache>
                <c:formatCode>#,##0;\(#,##0\);\-</c:formatCode>
                <c:ptCount val="1"/>
                <c:pt idx="0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4D-4F0F-BA8D-9B31E3307582}"/>
            </c:ext>
          </c:extLst>
        </c:ser>
        <c:ser>
          <c:idx val="10"/>
          <c:order val="10"/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Data_Quarterly!$L$5</c:f>
              <c:numCache>
                <c:formatCode>#,##0;\(#,##0\);\-</c:formatCode>
                <c:ptCount val="1"/>
                <c:pt idx="0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4D-4F0F-BA8D-9B31E3307582}"/>
            </c:ext>
          </c:extLst>
        </c:ser>
        <c:ser>
          <c:idx val="11"/>
          <c:order val="11"/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Data_Quarterly!$M$5</c:f>
              <c:numCache>
                <c:formatCode>#,##0;\(#,##0\);\-</c:formatCode>
                <c:ptCount val="1"/>
                <c:pt idx="0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A4D-4F0F-BA8D-9B31E3307582}"/>
            </c:ext>
          </c:extLst>
        </c:ser>
        <c:ser>
          <c:idx val="12"/>
          <c:order val="12"/>
          <c:spPr>
            <a:solidFill>
              <a:srgbClr val="AABAD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Data_Quarterly!$B$4:$N$4</c:f>
              <c:strCache>
                <c:ptCount val="13"/>
                <c:pt idx="0">
                  <c:v>Dec 2022</c:v>
                </c:pt>
                <c:pt idx="1">
                  <c:v>Mar 2023</c:v>
                </c:pt>
                <c:pt idx="2">
                  <c:v>Jun 2023</c:v>
                </c:pt>
                <c:pt idx="3">
                  <c:v>Sep 2023</c:v>
                </c:pt>
                <c:pt idx="4">
                  <c:v>Dec 2023</c:v>
                </c:pt>
                <c:pt idx="5">
                  <c:v>Mar 2024</c:v>
                </c:pt>
                <c:pt idx="6">
                  <c:v>Jun 2024</c:v>
                </c:pt>
                <c:pt idx="7">
                  <c:v>Sep 2024</c:v>
                </c:pt>
                <c:pt idx="8">
                  <c:v>Dec 2024</c:v>
                </c:pt>
                <c:pt idx="9">
                  <c:v>Mar 2025</c:v>
                </c:pt>
                <c:pt idx="10">
                  <c:v>Jun 2025</c:v>
                </c:pt>
                <c:pt idx="11">
                  <c:v>Sep 2025</c:v>
                </c:pt>
                <c:pt idx="12">
                  <c:v>Dec 2025</c:v>
                </c:pt>
              </c:strCache>
            </c:strRef>
          </c:cat>
          <c:val>
            <c:numRef>
              <c:f>Data_Quarterly!$N$5</c:f>
              <c:numCache>
                <c:formatCode>#,##0;\(#,##0\);\-</c:formatCode>
                <c:ptCount val="1"/>
                <c:pt idx="0">
                  <c:v>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4D-4F0F-BA8D-9B31E3307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18355"/>
        <c:axId val="4484329"/>
      </c:barChart>
      <c:catAx>
        <c:axId val="245183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84329"/>
        <c:crosses val="autoZero"/>
        <c:auto val="1"/>
        <c:lblAlgn val="ctr"/>
        <c:lblOffset val="100"/>
        <c:noMultiLvlLbl val="0"/>
      </c:catAx>
      <c:valAx>
        <c:axId val="4484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5183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Shareholding Pattern — Dec 2025</a:t>
            </a:r>
          </a:p>
        </c:rich>
      </c:tx>
      <c:layout>
        <c:manualLayout>
          <c:xMode val="edge"/>
          <c:yMode val="edge"/>
          <c:x val="0.17684928492849286"/>
          <c:y val="9.410718586169207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2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0DE-4E65-B2EC-ADEE1AF5505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0DE-4E65-B2EC-ADEE1AF5505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0DE-4E65-B2EC-ADEE1AF5505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0DE-4E65-B2EC-ADEE1AF5505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0DE-4E65-B2EC-ADEE1AF5505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0DE-4E65-B2EC-ADEE1AF5505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0DE-4E65-B2EC-ADEE1AF5505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0DE-4E65-B2EC-ADEE1AF5505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B0DE-4E65-B2EC-ADEE1AF5505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B0DE-4E65-B2EC-ADEE1AF550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Data_Shareholding!$A$5:$A$9</c:f>
              <c:strCache>
                <c:ptCount val="5"/>
                <c:pt idx="0">
                  <c:v>Promoters</c:v>
                </c:pt>
                <c:pt idx="1">
                  <c:v>FIIs</c:v>
                </c:pt>
                <c:pt idx="2">
                  <c:v>DIIs</c:v>
                </c:pt>
                <c:pt idx="3">
                  <c:v>Public</c:v>
                </c:pt>
                <c:pt idx="4">
                  <c:v>Others</c:v>
                </c:pt>
              </c:strCache>
            </c:strRef>
          </c:cat>
          <c:val>
            <c:numRef>
              <c:f>Data_Shareholding!$M$5:$M$9</c:f>
              <c:numCache>
                <c:formatCode>0.0%</c:formatCode>
                <c:ptCount val="5"/>
                <c:pt idx="0">
                  <c:v>0.31480000000000002</c:v>
                </c:pt>
                <c:pt idx="1">
                  <c:v>2.52E-2</c:v>
                </c:pt>
                <c:pt idx="2">
                  <c:v>5.8099999999999999E-2</c:v>
                </c:pt>
                <c:pt idx="3">
                  <c:v>0.56430000000000002</c:v>
                </c:pt>
                <c:pt idx="4">
                  <c:v>3.7400000000000003E-2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E-4E65-B2EC-ADEE1AF55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ROCE %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ROCE %</c:v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Data_Ratios!$B$7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45-42C0-8586-C719E3C3BEE5}"/>
            </c:ext>
          </c:extLst>
        </c:ser>
        <c:ser>
          <c:idx val="1"/>
          <c:order val="1"/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Data_Ratios!$C$7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45-42C0-8586-C719E3C3BEE5}"/>
            </c:ext>
          </c:extLst>
        </c:ser>
        <c:ser>
          <c:idx val="2"/>
          <c:order val="2"/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Data_Ratios!$D$7</c:f>
              <c:numCache>
                <c:formatCode>0.0%</c:formatCode>
                <c:ptCount val="1"/>
                <c:pt idx="0">
                  <c:v>7.0000000000000007E-2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245-42C0-8586-C719E3C3BEE5}"/>
            </c:ext>
          </c:extLst>
        </c:ser>
        <c:ser>
          <c:idx val="3"/>
          <c:order val="3"/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Data_Ratios!$E$7</c:f>
              <c:numCache>
                <c:formatCode>0.0%</c:formatCode>
                <c:ptCount val="1"/>
                <c:pt idx="0">
                  <c:v>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245-42C0-8586-C719E3C3BEE5}"/>
            </c:ext>
          </c:extLst>
        </c:ser>
        <c:ser>
          <c:idx val="4"/>
          <c:order val="4"/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Data_Ratios!$F$7</c:f>
              <c:numCache>
                <c:formatCode>0.0%</c:formatCode>
                <c:ptCount val="1"/>
                <c:pt idx="0">
                  <c:v>0.11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245-42C0-8586-C719E3C3BEE5}"/>
            </c:ext>
          </c:extLst>
        </c:ser>
        <c:ser>
          <c:idx val="5"/>
          <c:order val="5"/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Data_Ratios!$G$7</c:f>
              <c:numCache>
                <c:formatCode>0.0%</c:formatCode>
                <c:ptCount val="1"/>
                <c:pt idx="0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245-42C0-8586-C719E3C3BEE5}"/>
            </c:ext>
          </c:extLst>
        </c:ser>
        <c:ser>
          <c:idx val="6"/>
          <c:order val="6"/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Data_Ratios!$H$7</c:f>
              <c:numCache>
                <c:formatCode>0.0%</c:formatCode>
                <c:ptCount val="1"/>
                <c:pt idx="0">
                  <c:v>0.06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245-42C0-8586-C719E3C3BEE5}"/>
            </c:ext>
          </c:extLst>
        </c:ser>
        <c:ser>
          <c:idx val="7"/>
          <c:order val="7"/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Data_Ratios!$I$7</c:f>
              <c:numCache>
                <c:formatCode>0.0%</c:formatCode>
                <c:ptCount val="1"/>
                <c:pt idx="0">
                  <c:v>0.06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245-42C0-8586-C719E3C3BEE5}"/>
            </c:ext>
          </c:extLst>
        </c:ser>
        <c:ser>
          <c:idx val="8"/>
          <c:order val="8"/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Data_Ratios!$J$7</c:f>
              <c:numCache>
                <c:formatCode>0.0%</c:formatCode>
                <c:ptCount val="1"/>
                <c:pt idx="0">
                  <c:v>0.12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245-42C0-8586-C719E3C3BEE5}"/>
            </c:ext>
          </c:extLst>
        </c:ser>
        <c:ser>
          <c:idx val="9"/>
          <c:order val="9"/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Data_Ratios!$K$7</c:f>
              <c:numCache>
                <c:formatCode>0.0%</c:formatCode>
                <c:ptCount val="1"/>
                <c:pt idx="0">
                  <c:v>0.13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245-42C0-8586-C719E3C3BEE5}"/>
            </c:ext>
          </c:extLst>
        </c:ser>
        <c:ser>
          <c:idx val="10"/>
          <c:order val="10"/>
          <c:spPr>
            <a:ln w="2844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Data_Ratios!$L$7</c:f>
              <c:numCache>
                <c:formatCode>0.0%</c:formatCode>
                <c:ptCount val="1"/>
                <c:pt idx="0">
                  <c:v>0.14000000000000001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245-42C0-8586-C719E3C3BEE5}"/>
            </c:ext>
          </c:extLst>
        </c:ser>
        <c:ser>
          <c:idx val="11"/>
          <c:order val="11"/>
          <c:spPr>
            <a:ln w="2844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Data_Ratios!$B$4:$M$4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Data_Ratios!$M$7</c:f>
              <c:numCache>
                <c:formatCode>0.0%</c:formatCode>
                <c:ptCount val="1"/>
                <c:pt idx="0">
                  <c:v>0.15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245-42C0-8586-C719E3C3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787498"/>
        <c:axId val="4351361"/>
      </c:lineChart>
      <c:catAx>
        <c:axId val="777874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51361"/>
        <c:crosses val="autoZero"/>
        <c:auto val="1"/>
        <c:lblAlgn val="ctr"/>
        <c:lblOffset val="100"/>
        <c:noMultiLvlLbl val="0"/>
      </c:catAx>
      <c:valAx>
        <c:axId val="4351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87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vs Net Profit (Rs Cr)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Data_PL!$B$5</c:f>
              <c:numCache>
                <c:formatCode>#,##0;\(#,##0\);\-</c:formatCode>
                <c:ptCount val="1"/>
                <c:pt idx="0">
                  <c:v>3701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48-4931-9D0A-2D1F9912992D}"/>
            </c:ext>
          </c:extLst>
        </c:ser>
        <c:ser>
          <c:idx val="1"/>
          <c:order val="1"/>
          <c:tx>
            <c:v>Net Profit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Data_PL!$C$5</c:f>
              <c:numCache>
                <c:formatCode>#,##0;\(#,##0\);\-</c:formatCode>
                <c:ptCount val="1"/>
                <c:pt idx="0">
                  <c:v>3415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48-4931-9D0A-2D1F9912992D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Data_PL!$D$5</c:f>
              <c:numCache>
                <c:formatCode>#,##0;\(#,##0\);\-</c:formatCode>
                <c:ptCount val="1"/>
                <c:pt idx="0">
                  <c:v>4041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48-4931-9D0A-2D1F9912992D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Data_PL!$E$5</c:f>
              <c:numCache>
                <c:formatCode>#,##0;\(#,##0\);\-</c:formatCode>
                <c:ptCount val="1"/>
                <c:pt idx="0">
                  <c:v>3884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848-4931-9D0A-2D1F9912992D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Data_PL!$F$5</c:f>
              <c:numCache>
                <c:formatCode>#,##0;\(#,##0\);\-</c:formatCode>
                <c:ptCount val="1"/>
                <c:pt idx="0">
                  <c:v>2275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848-4931-9D0A-2D1F9912992D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Data_PL!$G$5</c:f>
              <c:numCache>
                <c:formatCode>#,##0;\(#,##0\);\-</c:formatCode>
                <c:ptCount val="1"/>
                <c:pt idx="0">
                  <c:v>2362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848-4931-9D0A-2D1F9912992D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Data_PL!$H$5</c:f>
              <c:numCache>
                <c:formatCode>#,##0;\(#,##0\);\-</c:formatCode>
                <c:ptCount val="1"/>
                <c:pt idx="0">
                  <c:v>2617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848-4931-9D0A-2D1F9912992D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Data_PL!$I$5</c:f>
              <c:numCache>
                <c:formatCode>#,##0;\(#,##0\);\-</c:formatCode>
                <c:ptCount val="1"/>
                <c:pt idx="0">
                  <c:v>1995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4848-4931-9D0A-2D1F9912992D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Data_PL!$J$5</c:f>
              <c:numCache>
                <c:formatCode>#,##0;\(#,##0\);\-</c:formatCode>
                <c:ptCount val="1"/>
                <c:pt idx="0">
                  <c:v>3380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4848-4931-9D0A-2D1F9912992D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Data_PL!$K$5</c:f>
              <c:numCache>
                <c:formatCode>#,##0;\(#,##0\);\-</c:formatCode>
                <c:ptCount val="1"/>
                <c:pt idx="0">
                  <c:v>3891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4848-4931-9D0A-2D1F9912992D}"/>
            </c:ext>
          </c:extLst>
        </c:ser>
        <c:ser>
          <c:idx val="10"/>
          <c:order val="10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Data_PL!$L$5</c:f>
              <c:numCache>
                <c:formatCode>#,##0;\(#,##0\);\-</c:formatCode>
                <c:ptCount val="1"/>
                <c:pt idx="0">
                  <c:v>4544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4848-4931-9D0A-2D1F9912992D}"/>
            </c:ext>
          </c:extLst>
        </c:ser>
        <c:ser>
          <c:idx val="11"/>
          <c:order val="1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Data_PL!$M$5</c:f>
              <c:numCache>
                <c:formatCode>#,##0;\(#,##0\);\-</c:formatCode>
                <c:ptCount val="1"/>
                <c:pt idx="0">
                  <c:v>5093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4848-4931-9D0A-2D1F9912992D}"/>
            </c:ext>
          </c:extLst>
        </c:ser>
        <c:ser>
          <c:idx val="12"/>
          <c:order val="1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Data_PL!$N$5</c:f>
              <c:numCache>
                <c:formatCode>#,##0;\(#,##0\);\-</c:formatCode>
                <c:ptCount val="1"/>
                <c:pt idx="0">
                  <c:v>5293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4848-4931-9D0A-2D1F9912992D}"/>
            </c:ext>
          </c:extLst>
        </c:ser>
        <c:ser>
          <c:idx val="13"/>
          <c:order val="1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Data_PL!$B$13</c:f>
              <c:numCache>
                <c:formatCode>#,##0;\(#,##0\);\-</c:formatCode>
                <c:ptCount val="1"/>
                <c:pt idx="0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848-4931-9D0A-2D1F9912992D}"/>
            </c:ext>
          </c:extLst>
        </c:ser>
        <c:ser>
          <c:idx val="14"/>
          <c:order val="14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Data_PL!$C$13</c:f>
              <c:numCache>
                <c:formatCode>#,##0;\(#,##0\);\-</c:formatCode>
                <c:ptCount val="1"/>
                <c:pt idx="0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4848-4931-9D0A-2D1F9912992D}"/>
            </c:ext>
          </c:extLst>
        </c:ser>
        <c:ser>
          <c:idx val="15"/>
          <c:order val="15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Data_PL!$D$13</c:f>
              <c:numCache>
                <c:formatCode>#,##0;\(#,##0\);\-</c:formatCode>
                <c:ptCount val="1"/>
                <c:pt idx="0">
                  <c:v>-196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4848-4931-9D0A-2D1F9912992D}"/>
            </c:ext>
          </c:extLst>
        </c:ser>
        <c:ser>
          <c:idx val="16"/>
          <c:order val="16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Data_PL!$E$13</c:f>
              <c:numCache>
                <c:formatCode>#,##0;\(#,##0\);\-</c:formatCode>
                <c:ptCount val="1"/>
                <c:pt idx="0">
                  <c:v>-103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4848-4931-9D0A-2D1F9912992D}"/>
            </c:ext>
          </c:extLst>
        </c:ser>
        <c:ser>
          <c:idx val="17"/>
          <c:order val="17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Data_PL!$F$13</c:f>
              <c:numCache>
                <c:formatCode>#,##0;\(#,##0\);\-</c:formatCode>
                <c:ptCount val="1"/>
                <c:pt idx="0">
                  <c:v>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4848-4931-9D0A-2D1F9912992D}"/>
            </c:ext>
          </c:extLst>
        </c:ser>
        <c:ser>
          <c:idx val="18"/>
          <c:order val="18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Data_PL!$G$13</c:f>
              <c:numCache>
                <c:formatCode>#,##0;\(#,##0\);\-</c:formatCode>
                <c:ptCount val="1"/>
                <c:pt idx="0">
                  <c:v>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4848-4931-9D0A-2D1F9912992D}"/>
            </c:ext>
          </c:extLst>
        </c:ser>
        <c:ser>
          <c:idx val="19"/>
          <c:order val="19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Data_PL!$H$13</c:f>
              <c:numCache>
                <c:formatCode>#,##0;\(#,##0\);\-</c:formatCode>
                <c:ptCount val="1"/>
                <c:pt idx="0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4848-4931-9D0A-2D1F9912992D}"/>
            </c:ext>
          </c:extLst>
        </c:ser>
        <c:ser>
          <c:idx val="20"/>
          <c:order val="20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Data_PL!$I$13</c:f>
              <c:numCache>
                <c:formatCode>#,##0;\(#,##0\);\-</c:formatCode>
                <c:ptCount val="1"/>
                <c:pt idx="0">
                  <c:v>-291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4848-4931-9D0A-2D1F9912992D}"/>
            </c:ext>
          </c:extLst>
        </c:ser>
        <c:ser>
          <c:idx val="21"/>
          <c:order val="2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Data_PL!$J$13</c:f>
              <c:numCache>
                <c:formatCode>#,##0;\(#,##0\);\-</c:formatCode>
                <c:ptCount val="1"/>
                <c:pt idx="0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4848-4931-9D0A-2D1F9912992D}"/>
            </c:ext>
          </c:extLst>
        </c:ser>
        <c:ser>
          <c:idx val="22"/>
          <c:order val="2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Data_PL!$K$13</c:f>
              <c:numCache>
                <c:formatCode>#,##0;\(#,##0\);\-</c:formatCode>
                <c:ptCount val="1"/>
                <c:pt idx="0">
                  <c:v>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4848-4931-9D0A-2D1F9912992D}"/>
            </c:ext>
          </c:extLst>
        </c:ser>
        <c:ser>
          <c:idx val="23"/>
          <c:order val="2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Data_PL!$L$13</c:f>
              <c:numCache>
                <c:formatCode>#,##0;\(#,##0\);\-</c:formatCode>
                <c:ptCount val="1"/>
                <c:pt idx="0">
                  <c:v>290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4848-4931-9D0A-2D1F9912992D}"/>
            </c:ext>
          </c:extLst>
        </c:ser>
        <c:ser>
          <c:idx val="24"/>
          <c:order val="24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Data_PL!$M$13</c:f>
              <c:numCache>
                <c:formatCode>#,##0;\(#,##0\);\-</c:formatCode>
                <c:ptCount val="1"/>
                <c:pt idx="0">
                  <c:v>248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4848-4931-9D0A-2D1F9912992D}"/>
            </c:ext>
          </c:extLst>
        </c:ser>
        <c:ser>
          <c:idx val="25"/>
          <c:order val="25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Data_PL!$N$13</c:f>
              <c:numCache>
                <c:formatCode>#,##0;\(#,##0\);\-</c:formatCode>
                <c:ptCount val="1"/>
                <c:pt idx="0">
                  <c:v>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4848-4931-9D0A-2D1F99129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956503"/>
        <c:axId val="48262282"/>
      </c:lineChart>
      <c:catAx>
        <c:axId val="979565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262282"/>
        <c:crosses val="autoZero"/>
        <c:auto val="1"/>
        <c:lblAlgn val="ctr"/>
        <c:lblOffset val="100"/>
        <c:noMultiLvlLbl val="0"/>
      </c:catAx>
      <c:valAx>
        <c:axId val="482622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Rs Crores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956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Operating Margin %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OPM %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Data_PL!$B$15</c:f>
              <c:numCache>
                <c:formatCode>0.0%</c:formatCode>
                <c:ptCount val="1"/>
                <c:pt idx="0">
                  <c:v>0.12618211294244799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00-4989-A6A6-413C1D1F80DC}"/>
            </c:ext>
          </c:extLst>
        </c:ser>
        <c:ser>
          <c:idx val="1"/>
          <c:order val="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Data_PL!$C$15</c:f>
              <c:numCache>
                <c:formatCode>0.0%</c:formatCode>
                <c:ptCount val="1"/>
                <c:pt idx="0">
                  <c:v>0.14524158125915079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00-4989-A6A6-413C1D1F80DC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Data_PL!$D$15</c:f>
              <c:numCache>
                <c:formatCode>0.0%</c:formatCode>
                <c:ptCount val="1"/>
                <c:pt idx="0">
                  <c:v>9.8737936154417227E-2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100-4989-A6A6-413C1D1F80DC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Data_PL!$E$15</c:f>
              <c:numCache>
                <c:formatCode>0.0%</c:formatCode>
                <c:ptCount val="1"/>
                <c:pt idx="0">
                  <c:v>0.10839340885684862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100-4989-A6A6-413C1D1F80DC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Data_PL!$F$15</c:f>
              <c:numCache>
                <c:formatCode>0.0%</c:formatCode>
                <c:ptCount val="1"/>
                <c:pt idx="0">
                  <c:v>0.23340659340659339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100-4989-A6A6-413C1D1F80DC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Data_PL!$G$15</c:f>
              <c:numCache>
                <c:formatCode>0.0%</c:formatCode>
                <c:ptCount val="1"/>
                <c:pt idx="0">
                  <c:v>0.15961049957662998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100-4989-A6A6-413C1D1F80DC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Data_PL!$H$15</c:f>
              <c:numCache>
                <c:formatCode>0.0%</c:formatCode>
                <c:ptCount val="1"/>
                <c:pt idx="0">
                  <c:v>7.0691631639281619E-2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100-4989-A6A6-413C1D1F80DC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Data_PL!$I$15</c:f>
              <c:numCache>
                <c:formatCode>0.0%</c:formatCode>
                <c:ptCount val="1"/>
                <c:pt idx="0">
                  <c:v>0.12230576441102757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100-4989-A6A6-413C1D1F80DC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Data_PL!$J$15</c:f>
              <c:numCache>
                <c:formatCode>0.0%</c:formatCode>
                <c:ptCount val="1"/>
                <c:pt idx="0">
                  <c:v>0.15680473372781065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100-4989-A6A6-413C1D1F80DC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Data_PL!$K$15</c:f>
              <c:numCache>
                <c:formatCode>0.0%</c:formatCode>
                <c:ptCount val="1"/>
                <c:pt idx="0">
                  <c:v>0.14443587766640967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100-4989-A6A6-413C1D1F80DC}"/>
            </c:ext>
          </c:extLst>
        </c:ser>
        <c:ser>
          <c:idx val="10"/>
          <c:order val="10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Data_PL!$L$15</c:f>
              <c:numCache>
                <c:formatCode>0.0%</c:formatCode>
                <c:ptCount val="1"/>
                <c:pt idx="0">
                  <c:v>0.15184859154929578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100-4989-A6A6-413C1D1F80DC}"/>
            </c:ext>
          </c:extLst>
        </c:ser>
        <c:ser>
          <c:idx val="11"/>
          <c:order val="1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Data_PL!$M$15</c:f>
              <c:numCache>
                <c:formatCode>0.0%</c:formatCode>
                <c:ptCount val="1"/>
                <c:pt idx="0">
                  <c:v>0.14706459846848616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100-4989-A6A6-413C1D1F80DC}"/>
            </c:ext>
          </c:extLst>
        </c:ser>
        <c:ser>
          <c:idx val="12"/>
          <c:order val="1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Data_PL!$B$4:$N$4</c:f>
              <c:strCache>
                <c:ptCount val="13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  <c:pt idx="12">
                  <c:v>TTM</c:v>
                </c:pt>
              </c:strCache>
            </c:strRef>
          </c:cat>
          <c:val>
            <c:numRef>
              <c:f>Data_PL!$N$15</c:f>
              <c:numCache>
                <c:formatCode>0.0%</c:formatCode>
                <c:ptCount val="1"/>
                <c:pt idx="0">
                  <c:v>0.12979406763650103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100-4989-A6A6-413C1D1F8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479927"/>
        <c:axId val="4720408"/>
      </c:lineChart>
      <c:catAx>
        <c:axId val="844799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0408"/>
        <c:crosses val="autoZero"/>
        <c:auto val="1"/>
        <c:lblAlgn val="ctr"/>
        <c:lblOffset val="100"/>
        <c:noMultiLvlLbl val="0"/>
      </c:catAx>
      <c:valAx>
        <c:axId val="47204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OPM 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79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Interest Coverage Ratio Trend (EBIT / Interest)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Interest Coverage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Data_Risk!$B$20</c:f>
              <c:numCache>
                <c:formatCode>0.00\x</c:formatCode>
                <c:ptCount val="1"/>
                <c:pt idx="0">
                  <c:v>1.1050228310502284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AE-4007-851A-D0246A15289C}"/>
            </c:ext>
          </c:extLst>
        </c:ser>
        <c:ser>
          <c:idx val="1"/>
          <c:order val="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Data_Risk!$C$20</c:f>
              <c:numCache>
                <c:formatCode>0.00\x</c:formatCode>
                <c:ptCount val="1"/>
                <c:pt idx="0">
                  <c:v>1.0620155038759691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AE-4007-851A-D0246A15289C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Data_Risk!$D$20</c:f>
              <c:numCache>
                <c:formatCode>0.00\x</c:formatCode>
                <c:ptCount val="1"/>
                <c:pt idx="0">
                  <c:v>0.64119601328903653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6AE-4007-851A-D0246A15289C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Data_Risk!$E$20</c:f>
              <c:numCache>
                <c:formatCode>0.00\x</c:formatCode>
                <c:ptCount val="1"/>
                <c:pt idx="0">
                  <c:v>0.87737478411053538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6AE-4007-851A-D0246A15289C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Data_Risk!$F$20</c:f>
              <c:numCache>
                <c:formatCode>0.00\x</c:formatCode>
                <c:ptCount val="1"/>
                <c:pt idx="0">
                  <c:v>1.1922290388548058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6AE-4007-851A-D0246A15289C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Data_Risk!$G$20</c:f>
              <c:numCache>
                <c:formatCode>0.00\x</c:formatCode>
                <c:ptCount val="1"/>
                <c:pt idx="0">
                  <c:v>1.5513513513513513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6AE-4007-851A-D0246A15289C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Data_Risk!$H$20</c:f>
              <c:numCache>
                <c:formatCode>0.00\x</c:formatCode>
                <c:ptCount val="1"/>
                <c:pt idx="0">
                  <c:v>1.2067669172932332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6AE-4007-851A-D0246A15289C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Data_Risk!$I$20</c:f>
              <c:numCache>
                <c:formatCode>0.00\x</c:formatCode>
                <c:ptCount val="1"/>
                <c:pt idx="0">
                  <c:v>0.14214463840399003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6AE-4007-851A-D0246A15289C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Data_Risk!$J$20</c:f>
              <c:numCache>
                <c:formatCode>0.00\x</c:formatCode>
                <c:ptCount val="1"/>
                <c:pt idx="0">
                  <c:v>1.2666666666666666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6AE-4007-851A-D0246A15289C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Data_Risk!$K$20</c:f>
              <c:numCache>
                <c:formatCode>0.00\x</c:formatCode>
                <c:ptCount val="1"/>
                <c:pt idx="0">
                  <c:v>1.529126213592233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6AE-4007-851A-D0246A15289C}"/>
            </c:ext>
          </c:extLst>
        </c:ser>
        <c:ser>
          <c:idx val="10"/>
          <c:order val="10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Data_Risk!$L$20</c:f>
              <c:numCache>
                <c:formatCode>0.00\x</c:formatCode>
                <c:ptCount val="1"/>
                <c:pt idx="0">
                  <c:v>2.0856353591160222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6AE-4007-851A-D0246A15289C}"/>
            </c:ext>
          </c:extLst>
        </c:ser>
        <c:ser>
          <c:idx val="11"/>
          <c:order val="1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Data_Risk!$M$20</c:f>
              <c:numCache>
                <c:formatCode>0.00\x</c:formatCode>
                <c:ptCount val="1"/>
                <c:pt idx="0">
                  <c:v>2.012422360248447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6AE-4007-851A-D0246A152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02062"/>
        <c:axId val="31055221"/>
      </c:lineChart>
      <c:catAx>
        <c:axId val="23020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055221"/>
        <c:crosses val="autoZero"/>
        <c:auto val="1"/>
        <c:lblAlgn val="ctr"/>
        <c:lblOffset val="100"/>
        <c:noMultiLvlLbl val="0"/>
      </c:catAx>
      <c:valAx>
        <c:axId val="310552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x (times)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02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Leverage Trend — Debt/EBITDA &amp; Debt/Equity</a:t>
            </a:r>
          </a:p>
        </c:rich>
      </c:tx>
      <c:layout>
        <c:manualLayout>
          <c:xMode val="edge"/>
          <c:yMode val="edge"/>
          <c:x val="0.11526552642840381"/>
          <c:y val="2.49485558813273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Debt/EBITDA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Data_Risk!$B$21</c:f>
              <c:numCache>
                <c:formatCode>0.00\x</c:formatCode>
                <c:ptCount val="1"/>
                <c:pt idx="0">
                  <c:v>9.5888650963597435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25-4CDE-A062-02E072D1837F}"/>
            </c:ext>
          </c:extLst>
        </c:ser>
        <c:ser>
          <c:idx val="1"/>
          <c:order val="1"/>
          <c:tx>
            <c:v>Debt/Equity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Data_Risk!$C$21</c:f>
              <c:numCache>
                <c:formatCode>0.00\x</c:formatCode>
                <c:ptCount val="1"/>
                <c:pt idx="0">
                  <c:v>10.409274193548388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25-4CDE-A062-02E072D1837F}"/>
            </c:ext>
          </c:extLst>
        </c:ser>
        <c:ser>
          <c:idx val="2"/>
          <c:order val="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Data_Risk!$D$21</c:f>
              <c:numCache>
                <c:formatCode>0.00\x</c:formatCode>
                <c:ptCount val="1"/>
                <c:pt idx="0">
                  <c:v>13.521303258145364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25-4CDE-A062-02E072D1837F}"/>
            </c:ext>
          </c:extLst>
        </c:ser>
        <c:ser>
          <c:idx val="3"/>
          <c:order val="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Data_Risk!$E$21</c:f>
              <c:numCache>
                <c:formatCode>0.00\x</c:formatCode>
                <c:ptCount val="1"/>
                <c:pt idx="0">
                  <c:v>11.833729216152019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425-4CDE-A062-02E072D1837F}"/>
            </c:ext>
          </c:extLst>
        </c:ser>
        <c:ser>
          <c:idx val="4"/>
          <c:order val="4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Data_Risk!$F$21</c:f>
              <c:numCache>
                <c:formatCode>0.00\x</c:formatCode>
                <c:ptCount val="1"/>
                <c:pt idx="0">
                  <c:v>5.4802259887005649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425-4CDE-A062-02E072D1837F}"/>
            </c:ext>
          </c:extLst>
        </c:ser>
        <c:ser>
          <c:idx val="5"/>
          <c:order val="5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Data_Risk!$G$21</c:f>
              <c:numCache>
                <c:formatCode>0.00\x</c:formatCode>
                <c:ptCount val="1"/>
                <c:pt idx="0">
                  <c:v>7.1564986737400531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425-4CDE-A062-02E072D1837F}"/>
            </c:ext>
          </c:extLst>
        </c:ser>
        <c:ser>
          <c:idx val="6"/>
          <c:order val="6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Data_Risk!$H$21</c:f>
              <c:numCache>
                <c:formatCode>0.00\x</c:formatCode>
                <c:ptCount val="1"/>
                <c:pt idx="0">
                  <c:v>12.41081081081081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425-4CDE-A062-02E072D1837F}"/>
            </c:ext>
          </c:extLst>
        </c:ser>
        <c:ser>
          <c:idx val="7"/>
          <c:order val="7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Data_Risk!$I$21</c:f>
              <c:numCache>
                <c:formatCode>0.00\x</c:formatCode>
                <c:ptCount val="1"/>
                <c:pt idx="0">
                  <c:v>9.4098360655737707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425-4CDE-A062-02E072D1837F}"/>
            </c:ext>
          </c:extLst>
        </c:ser>
        <c:ser>
          <c:idx val="8"/>
          <c:order val="8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Data_Risk!$J$21</c:f>
              <c:numCache>
                <c:formatCode>0.00\x</c:formatCode>
                <c:ptCount val="1"/>
                <c:pt idx="0">
                  <c:v>4.3245283018867928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425-4CDE-A062-02E072D1837F}"/>
            </c:ext>
          </c:extLst>
        </c:ser>
        <c:ser>
          <c:idx val="9"/>
          <c:order val="9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Data_Risk!$K$21</c:f>
              <c:numCache>
                <c:formatCode>0.00\x</c:formatCode>
                <c:ptCount val="1"/>
                <c:pt idx="0">
                  <c:v>3.1281138790035588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425-4CDE-A062-02E072D1837F}"/>
            </c:ext>
          </c:extLst>
        </c:ser>
        <c:ser>
          <c:idx val="10"/>
          <c:order val="10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Data_Risk!$L$21</c:f>
              <c:numCache>
                <c:formatCode>0.00\x</c:formatCode>
                <c:ptCount val="1"/>
                <c:pt idx="0">
                  <c:v>2.7681159420289854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425-4CDE-A062-02E072D1837F}"/>
            </c:ext>
          </c:extLst>
        </c:ser>
        <c:ser>
          <c:idx val="11"/>
          <c:order val="1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Data_Risk!$M$21</c:f>
              <c:numCache>
                <c:formatCode>0.00\x</c:formatCode>
                <c:ptCount val="1"/>
                <c:pt idx="0">
                  <c:v>2.1562082777036049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425-4CDE-A062-02E072D1837F}"/>
            </c:ext>
          </c:extLst>
        </c:ser>
        <c:ser>
          <c:idx val="12"/>
          <c:order val="1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Data_Risk!$B$22</c:f>
              <c:numCache>
                <c:formatCode>0.00\x</c:formatCode>
                <c:ptCount val="1"/>
                <c:pt idx="0">
                  <c:v>2.497490239821528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425-4CDE-A062-02E072D1837F}"/>
            </c:ext>
          </c:extLst>
        </c:ser>
        <c:ser>
          <c:idx val="13"/>
          <c:order val="1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Data_Risk!$C$22</c:f>
              <c:numCache>
                <c:formatCode>0.00\x</c:formatCode>
                <c:ptCount val="1"/>
                <c:pt idx="0">
                  <c:v>2.7274167987321714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425-4CDE-A062-02E072D1837F}"/>
            </c:ext>
          </c:extLst>
        </c:ser>
        <c:ser>
          <c:idx val="14"/>
          <c:order val="14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Data_Risk!$D$22</c:f>
              <c:numCache>
                <c:formatCode>0.00\x</c:formatCode>
                <c:ptCount val="1"/>
                <c:pt idx="0">
                  <c:v>3.1494454173963806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E425-4CDE-A062-02E072D1837F}"/>
            </c:ext>
          </c:extLst>
        </c:ser>
        <c:ser>
          <c:idx val="15"/>
          <c:order val="15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Data_Risk!$E$22</c:f>
              <c:numCache>
                <c:formatCode>0.00\x</c:formatCode>
                <c:ptCount val="1"/>
                <c:pt idx="0">
                  <c:v>2.3291257597007946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E425-4CDE-A062-02E072D1837F}"/>
            </c:ext>
          </c:extLst>
        </c:ser>
        <c:ser>
          <c:idx val="16"/>
          <c:order val="16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Data_Risk!$F$22</c:f>
              <c:numCache>
                <c:formatCode>0.00\x</c:formatCode>
                <c:ptCount val="1"/>
                <c:pt idx="0">
                  <c:v>1.3472222222222223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E425-4CDE-A062-02E072D1837F}"/>
            </c:ext>
          </c:extLst>
        </c:ser>
        <c:ser>
          <c:idx val="17"/>
          <c:order val="17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Data_Risk!$G$22</c:f>
              <c:numCache>
                <c:formatCode>0.00\x</c:formatCode>
                <c:ptCount val="1"/>
                <c:pt idx="0">
                  <c:v>1.1854130052724077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E425-4CDE-A062-02E072D1837F}"/>
            </c:ext>
          </c:extLst>
        </c:ser>
        <c:ser>
          <c:idx val="18"/>
          <c:order val="18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Data_Risk!$H$22</c:f>
              <c:numCache>
                <c:formatCode>0.00\x</c:formatCode>
                <c:ptCount val="1"/>
                <c:pt idx="0">
                  <c:v>0.90145268943855517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E425-4CDE-A062-02E072D1837F}"/>
            </c:ext>
          </c:extLst>
        </c:ser>
        <c:ser>
          <c:idx val="19"/>
          <c:order val="19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Data_Risk!$I$22</c:f>
              <c:numCache>
                <c:formatCode>0.00\x</c:formatCode>
                <c:ptCount val="1"/>
                <c:pt idx="0">
                  <c:v>0.98965517241379308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E425-4CDE-A062-02E072D1837F}"/>
            </c:ext>
          </c:extLst>
        </c:ser>
        <c:ser>
          <c:idx val="20"/>
          <c:order val="20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Data_Risk!$J$22</c:f>
              <c:numCache>
                <c:formatCode>0.00\x</c:formatCode>
                <c:ptCount val="1"/>
                <c:pt idx="0">
                  <c:v>0.96140939597315433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E425-4CDE-A062-02E072D1837F}"/>
            </c:ext>
          </c:extLst>
        </c:ser>
        <c:ser>
          <c:idx val="21"/>
          <c:order val="21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Data_Risk!$K$22</c:f>
              <c:numCache>
                <c:formatCode>0.00\x</c:formatCode>
                <c:ptCount val="1"/>
                <c:pt idx="0">
                  <c:v>0.6087257617728532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E425-4CDE-A062-02E072D1837F}"/>
            </c:ext>
          </c:extLst>
        </c:ser>
        <c:ser>
          <c:idx val="22"/>
          <c:order val="22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Data_Risk!$L$22</c:f>
              <c:numCache>
                <c:formatCode>0.00\x</c:formatCode>
                <c:ptCount val="1"/>
                <c:pt idx="0">
                  <c:v>0.60577228036790354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E425-4CDE-A062-02E072D1837F}"/>
            </c:ext>
          </c:extLst>
        </c:ser>
        <c:ser>
          <c:idx val="23"/>
          <c:order val="23"/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Data_Risk!$B$19:$M$19</c:f>
              <c:strCache>
                <c:ptCount val="12"/>
                <c:pt idx="0">
                  <c:v>Mar 2014</c:v>
                </c:pt>
                <c:pt idx="1">
                  <c:v>Mar 2015</c:v>
                </c:pt>
                <c:pt idx="2">
                  <c:v>Mar 2016</c:v>
                </c:pt>
                <c:pt idx="3">
                  <c:v>Mar 2017</c:v>
                </c:pt>
                <c:pt idx="4">
                  <c:v>Mar 2018</c:v>
                </c:pt>
                <c:pt idx="5">
                  <c:v>Mar 2019</c:v>
                </c:pt>
                <c:pt idx="6">
                  <c:v>Mar 2020</c:v>
                </c:pt>
                <c:pt idx="7">
                  <c:v>Mar 2021</c:v>
                </c:pt>
                <c:pt idx="8">
                  <c:v>Mar 2022</c:v>
                </c:pt>
                <c:pt idx="9">
                  <c:v>Mar 2023</c:v>
                </c:pt>
                <c:pt idx="10">
                  <c:v>Mar 2024</c:v>
                </c:pt>
                <c:pt idx="11">
                  <c:v>Mar 2025</c:v>
                </c:pt>
              </c:strCache>
            </c:strRef>
          </c:cat>
          <c:val>
            <c:numRef>
              <c:f>Data_Risk!$M$22</c:f>
              <c:numCache>
                <c:formatCode>0.00\x</c:formatCode>
                <c:ptCount val="1"/>
                <c:pt idx="0">
                  <c:v>0.42679704016913317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E425-4CDE-A062-02E072D18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698505"/>
        <c:axId val="13907472"/>
      </c:lineChart>
      <c:catAx>
        <c:axId val="556985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7472"/>
        <c:crosses val="autoZero"/>
        <c:auto val="1"/>
        <c:lblAlgn val="ctr"/>
        <c:lblOffset val="100"/>
        <c:noMultiLvlLbl val="0"/>
      </c:catAx>
      <c:valAx>
        <c:axId val="139074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x (times)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6985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175680</xdr:rowOff>
    </xdr:from>
    <xdr:to>
      <xdr:col>6</xdr:col>
      <xdr:colOff>832680</xdr:colOff>
      <xdr:row>52</xdr:row>
      <xdr:rowOff>186840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36</xdr:row>
      <xdr:rowOff>175680</xdr:rowOff>
    </xdr:from>
    <xdr:to>
      <xdr:col>13</xdr:col>
      <xdr:colOff>79920</xdr:colOff>
      <xdr:row>52</xdr:row>
      <xdr:rowOff>186840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55</xdr:row>
      <xdr:rowOff>176040</xdr:rowOff>
    </xdr:from>
    <xdr:to>
      <xdr:col>5</xdr:col>
      <xdr:colOff>90000</xdr:colOff>
      <xdr:row>72</xdr:row>
      <xdr:rowOff>176400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55</xdr:row>
      <xdr:rowOff>176040</xdr:rowOff>
    </xdr:from>
    <xdr:to>
      <xdr:col>13</xdr:col>
      <xdr:colOff>79920</xdr:colOff>
      <xdr:row>72</xdr:row>
      <xdr:rowOff>176400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19</xdr:row>
      <xdr:rowOff>0</xdr:rowOff>
    </xdr:from>
    <xdr:to>
      <xdr:col>6</xdr:col>
      <xdr:colOff>833040</xdr:colOff>
      <xdr:row>35</xdr:row>
      <xdr:rowOff>11160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80280</xdr:colOff>
      <xdr:row>35</xdr:row>
      <xdr:rowOff>11160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25</xdr:row>
      <xdr:rowOff>156630</xdr:rowOff>
    </xdr:from>
    <xdr:to>
      <xdr:col>6</xdr:col>
      <xdr:colOff>813990</xdr:colOff>
      <xdr:row>41</xdr:row>
      <xdr:rowOff>162915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228600</xdr:colOff>
      <xdr:row>24</xdr:row>
      <xdr:rowOff>175680</xdr:rowOff>
    </xdr:from>
    <xdr:to>
      <xdr:col>17</xdr:col>
      <xdr:colOff>104774</xdr:colOff>
      <xdr:row>40</xdr:row>
      <xdr:rowOff>172440</xdr:rowOff>
    </xdr:to>
    <xdr:graphicFrame macro="">
      <xdr:nvGraphicFramePr>
        <xdr:cNvPr id="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0"/>
  <sheetViews>
    <sheetView showGridLines="0" tabSelected="1" topLeftCell="A15" zoomScaleNormal="100" workbookViewId="0">
      <selection activeCell="F55" sqref="F55"/>
    </sheetView>
  </sheetViews>
  <sheetFormatPr defaultColWidth="8.7109375" defaultRowHeight="15" x14ac:dyDescent="0.25"/>
  <cols>
    <col min="1" max="1" width="2" style="15" customWidth="1"/>
    <col min="2" max="11" width="15" style="15" customWidth="1"/>
    <col min="12" max="12" width="2" style="15" customWidth="1"/>
  </cols>
  <sheetData>
    <row r="2" spans="2:11" ht="21.7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ht="21.7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2:11" ht="18" customHeight="1" x14ac:dyDescent="0.25"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</row>
    <row r="6" spans="2:11" ht="13.5" customHeight="1" x14ac:dyDescent="0.25"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</row>
    <row r="7" spans="2:11" ht="13.5" customHeight="1" x14ac:dyDescent="0.25">
      <c r="B7" s="12"/>
      <c r="C7" s="12"/>
      <c r="D7" s="12"/>
      <c r="E7" s="12"/>
      <c r="F7" s="12"/>
      <c r="G7" s="12"/>
    </row>
    <row r="8" spans="2:11" ht="25.5" customHeight="1" x14ac:dyDescent="0.25">
      <c r="B8" s="11">
        <f>Data_Ratios!B11</f>
        <v>2504</v>
      </c>
      <c r="C8" s="10">
        <f>Data_Ratios!B12</f>
        <v>25.3</v>
      </c>
      <c r="D8" s="9">
        <f>Data_Ratios!B13</f>
        <v>6.6</v>
      </c>
      <c r="E8" s="10">
        <f>Data_Ratios!B14</f>
        <v>39.6</v>
      </c>
      <c r="F8" s="8">
        <f>Data_Ratios!B16</f>
        <v>0.154</v>
      </c>
      <c r="G8" s="8">
        <f>Data_Ratios!B17</f>
        <v>0.104</v>
      </c>
    </row>
    <row r="9" spans="2:11" ht="25.5" customHeight="1" x14ac:dyDescent="0.25">
      <c r="B9" s="11"/>
      <c r="C9" s="11"/>
      <c r="D9" s="11"/>
      <c r="E9" s="11"/>
      <c r="F9" s="11"/>
      <c r="G9" s="11"/>
    </row>
    <row r="11" spans="2:11" ht="15" customHeight="1" x14ac:dyDescent="0.25">
      <c r="B11" s="7" t="s">
        <v>8</v>
      </c>
      <c r="C11" s="7"/>
      <c r="D11" s="16" t="s">
        <v>9</v>
      </c>
    </row>
    <row r="13" spans="2:11" ht="13.5" customHeight="1" x14ac:dyDescent="0.25">
      <c r="B13" s="12" t="s">
        <v>10</v>
      </c>
      <c r="C13" s="12" t="s">
        <v>11</v>
      </c>
      <c r="D13" s="12" t="s">
        <v>12</v>
      </c>
      <c r="E13" s="12" t="s">
        <v>13</v>
      </c>
    </row>
    <row r="14" spans="2:11" ht="13.5" customHeight="1" x14ac:dyDescent="0.25">
      <c r="B14" s="12"/>
      <c r="C14" s="12"/>
      <c r="D14" s="12"/>
      <c r="E14" s="12"/>
    </row>
    <row r="15" spans="2:11" ht="24" customHeight="1" x14ac:dyDescent="0.25">
      <c r="B15" s="6">
        <f>INDEX(Data_PL!$B$5:$M$5,MATCH(Dashboard!$D$11,Data_PL!$B$4:$M$4,0))</f>
        <v>5093</v>
      </c>
      <c r="C15" s="5">
        <f>INDEX(Data_PL!$B$13:$M$13,MATCH(Dashboard!$D$11,Data_PL!$B$4:$M$4,0))</f>
        <v>248</v>
      </c>
      <c r="D15" s="4">
        <f>INDEX(Data_PL!$B$15:$M$15,MATCH(Dashboard!$D$11,Data_PL!$B$4:$M$4,0))</f>
        <v>0.14706459846848616</v>
      </c>
      <c r="E15" s="3">
        <f>INDEX(Data_PL!$B$14:$M$14,MATCH(Dashboard!$D$11,Data_PL!$B$4:$M$4,0))</f>
        <v>2.5</v>
      </c>
    </row>
    <row r="16" spans="2:11" ht="24" customHeight="1" x14ac:dyDescent="0.25">
      <c r="B16" s="6"/>
      <c r="C16" s="6"/>
      <c r="D16" s="6"/>
      <c r="E16" s="6"/>
    </row>
    <row r="19" spans="2:11" ht="15.75" customHeight="1" x14ac:dyDescent="0.25">
      <c r="B19" s="2" t="s">
        <v>14</v>
      </c>
      <c r="C19" s="2"/>
      <c r="D19" s="2"/>
      <c r="E19" s="2"/>
      <c r="F19" s="2"/>
      <c r="G19" s="2"/>
      <c r="H19" s="2"/>
      <c r="I19" s="2"/>
      <c r="J19" s="2"/>
      <c r="K19" s="2"/>
    </row>
    <row r="76" spans="2:11" ht="15.75" customHeight="1" x14ac:dyDescent="0.25">
      <c r="B76" s="2" t="s">
        <v>15</v>
      </c>
      <c r="C76" s="2"/>
      <c r="D76" s="2"/>
      <c r="E76" s="2"/>
      <c r="F76" s="2"/>
      <c r="G76" s="2"/>
      <c r="H76" s="2"/>
      <c r="I76" s="2"/>
      <c r="J76" s="2"/>
      <c r="K76" s="2"/>
    </row>
    <row r="77" spans="2:11" ht="15" customHeight="1" x14ac:dyDescent="0.25">
      <c r="B77" s="1" t="s">
        <v>16</v>
      </c>
      <c r="C77" s="1"/>
      <c r="D77" s="1"/>
      <c r="E77" s="1"/>
      <c r="F77" s="1"/>
      <c r="G77" s="1"/>
      <c r="H77" s="1"/>
      <c r="I77" s="1"/>
      <c r="J77" s="1"/>
      <c r="K77" s="1"/>
    </row>
    <row r="78" spans="2:11" ht="15" customHeight="1" x14ac:dyDescent="0.25">
      <c r="B78" s="1" t="s">
        <v>17</v>
      </c>
      <c r="C78" s="1"/>
      <c r="D78" s="1"/>
      <c r="E78" s="1"/>
      <c r="F78" s="1"/>
      <c r="G78" s="1"/>
      <c r="H78" s="1"/>
      <c r="I78" s="1"/>
      <c r="J78" s="1"/>
      <c r="K78" s="1"/>
    </row>
    <row r="79" spans="2:11" ht="15" customHeight="1" x14ac:dyDescent="0.25">
      <c r="B79" s="1" t="s">
        <v>18</v>
      </c>
      <c r="C79" s="1"/>
      <c r="D79" s="1"/>
      <c r="E79" s="1"/>
      <c r="F79" s="1"/>
      <c r="G79" s="1"/>
      <c r="H79" s="1"/>
      <c r="I79" s="1"/>
      <c r="J79" s="1"/>
      <c r="K79" s="1"/>
    </row>
    <row r="80" spans="2:11" ht="15" customHeight="1" x14ac:dyDescent="0.25">
      <c r="B80" s="1" t="s">
        <v>19</v>
      </c>
      <c r="C80" s="1"/>
      <c r="D80" s="1"/>
      <c r="E80" s="1"/>
      <c r="F80" s="1"/>
      <c r="G80" s="1"/>
      <c r="H80" s="1"/>
      <c r="I80" s="1"/>
      <c r="J80" s="1"/>
      <c r="K80" s="1"/>
    </row>
  </sheetData>
  <mergeCells count="29">
    <mergeCell ref="B76:K76"/>
    <mergeCell ref="B77:K77"/>
    <mergeCell ref="B78:K78"/>
    <mergeCell ref="B79:K79"/>
    <mergeCell ref="B80:K80"/>
    <mergeCell ref="B15:B16"/>
    <mergeCell ref="C15:C16"/>
    <mergeCell ref="D15:D16"/>
    <mergeCell ref="E15:E16"/>
    <mergeCell ref="B19:K19"/>
    <mergeCell ref="G8:G9"/>
    <mergeCell ref="B11:C11"/>
    <mergeCell ref="B13:B14"/>
    <mergeCell ref="C13:C14"/>
    <mergeCell ref="D13:D14"/>
    <mergeCell ref="E13:E14"/>
    <mergeCell ref="B8:B9"/>
    <mergeCell ref="C8:C9"/>
    <mergeCell ref="D8:D9"/>
    <mergeCell ref="E8:E9"/>
    <mergeCell ref="F8:F9"/>
    <mergeCell ref="B2:K3"/>
    <mergeCell ref="B4:K4"/>
    <mergeCell ref="B6:B7"/>
    <mergeCell ref="C6:C7"/>
    <mergeCell ref="D6:D7"/>
    <mergeCell ref="E6:E7"/>
    <mergeCell ref="F6:F7"/>
    <mergeCell ref="G6:G7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Data_PL!$B$4:$M$4</xm:f>
          </x14:formula1>
          <x14:formula2>
            <xm:f>0</xm:f>
          </x14:formula2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0"/>
  <sheetViews>
    <sheetView showGridLines="0" zoomScaleNormal="100" workbookViewId="0">
      <selection activeCell="P45" sqref="P45"/>
    </sheetView>
  </sheetViews>
  <sheetFormatPr defaultColWidth="8.7109375" defaultRowHeight="15" x14ac:dyDescent="0.25"/>
  <cols>
    <col min="1" max="1" width="2" style="15" customWidth="1"/>
    <col min="2" max="11" width="15" style="15" customWidth="1"/>
    <col min="12" max="12" width="2" style="15" customWidth="1"/>
  </cols>
  <sheetData>
    <row r="2" spans="2:11" ht="21.75" customHeight="1" x14ac:dyDescent="0.25">
      <c r="B2" s="14" t="s">
        <v>20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ht="21.7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2:11" ht="18" customHeight="1" x14ac:dyDescent="0.25">
      <c r="B4" s="13" t="s">
        <v>21</v>
      </c>
      <c r="C4" s="13"/>
      <c r="D4" s="13"/>
      <c r="E4" s="13"/>
      <c r="F4" s="13"/>
      <c r="G4" s="13"/>
      <c r="H4" s="13"/>
      <c r="I4" s="13"/>
      <c r="J4" s="13"/>
      <c r="K4" s="13"/>
    </row>
    <row r="6" spans="2:11" ht="13.5" customHeight="1" x14ac:dyDescent="0.25">
      <c r="B6" s="12" t="s">
        <v>22</v>
      </c>
      <c r="C6" s="12" t="s">
        <v>23</v>
      </c>
      <c r="D6" s="12" t="s">
        <v>24</v>
      </c>
      <c r="E6" s="12" t="s">
        <v>25</v>
      </c>
      <c r="F6" s="12" t="s">
        <v>26</v>
      </c>
      <c r="G6" s="12" t="s">
        <v>27</v>
      </c>
    </row>
    <row r="7" spans="2:11" ht="13.5" customHeight="1" x14ac:dyDescent="0.25">
      <c r="B7" s="12"/>
      <c r="C7" s="12"/>
      <c r="D7" s="12"/>
      <c r="E7" s="12"/>
      <c r="F7" s="12"/>
      <c r="G7" s="12"/>
    </row>
    <row r="8" spans="2:11" ht="25.5" customHeight="1" x14ac:dyDescent="0.25">
      <c r="B8" s="59">
        <f>Data_Risk!B6</f>
        <v>0.86580000000000001</v>
      </c>
      <c r="C8" s="60">
        <f>Data_Risk!B10</f>
        <v>1.48</v>
      </c>
      <c r="D8" s="60">
        <f>Data_Risk!B9</f>
        <v>3.94</v>
      </c>
      <c r="E8" s="60">
        <f>Data_Risk!B8</f>
        <v>0.23</v>
      </c>
      <c r="F8" s="61">
        <f>Data_Risk!B7</f>
        <v>2681</v>
      </c>
      <c r="G8" s="61">
        <f>Data_Risk!B14</f>
        <v>45</v>
      </c>
    </row>
    <row r="9" spans="2:11" ht="25.5" customHeight="1" x14ac:dyDescent="0.25">
      <c r="B9" s="59"/>
      <c r="C9" s="59"/>
      <c r="D9" s="59"/>
      <c r="E9" s="59"/>
      <c r="F9" s="59"/>
      <c r="G9" s="59"/>
    </row>
    <row r="11" spans="2:11" ht="15.75" customHeight="1" x14ac:dyDescent="0.25">
      <c r="B11" s="2" t="s">
        <v>28</v>
      </c>
      <c r="C11" s="2"/>
      <c r="D11" s="2"/>
      <c r="E11" s="2"/>
      <c r="F11" s="2"/>
      <c r="G11" s="2"/>
      <c r="H11" s="2"/>
      <c r="I11" s="2"/>
      <c r="J11" s="2"/>
      <c r="K11" s="2"/>
    </row>
    <row r="12" spans="2:11" ht="15" customHeight="1" x14ac:dyDescent="0.25">
      <c r="B12" s="62" t="s">
        <v>29</v>
      </c>
      <c r="C12" s="62"/>
      <c r="D12" s="17" t="s">
        <v>30</v>
      </c>
      <c r="E12" s="17" t="s">
        <v>31</v>
      </c>
      <c r="F12" s="17" t="s">
        <v>32</v>
      </c>
      <c r="G12" s="17"/>
    </row>
    <row r="13" spans="2:11" ht="15" customHeight="1" x14ac:dyDescent="0.25">
      <c r="B13" s="63" t="s">
        <v>33</v>
      </c>
      <c r="C13" s="63"/>
      <c r="D13" s="18" t="s">
        <v>22</v>
      </c>
      <c r="E13" s="19">
        <f>Data_Risk!B6</f>
        <v>0.86580000000000001</v>
      </c>
      <c r="F13" s="20" t="s">
        <v>34</v>
      </c>
      <c r="G13" s="21" t="s">
        <v>35</v>
      </c>
    </row>
    <row r="14" spans="2:11" ht="15" customHeight="1" x14ac:dyDescent="0.25">
      <c r="B14" s="63" t="s">
        <v>36</v>
      </c>
      <c r="C14" s="63"/>
      <c r="D14" s="18" t="s">
        <v>37</v>
      </c>
      <c r="E14" s="22">
        <f>Data_Risk!B9</f>
        <v>3.94</v>
      </c>
      <c r="F14" s="20" t="s">
        <v>38</v>
      </c>
      <c r="G14" s="21" t="s">
        <v>35</v>
      </c>
    </row>
    <row r="15" spans="2:11" ht="15" customHeight="1" x14ac:dyDescent="0.25">
      <c r="B15" s="63" t="s">
        <v>36</v>
      </c>
      <c r="C15" s="63"/>
      <c r="D15" s="18" t="s">
        <v>39</v>
      </c>
      <c r="E15" s="22">
        <f>Data_Risk!B8</f>
        <v>0.23</v>
      </c>
      <c r="F15" s="20" t="s">
        <v>40</v>
      </c>
      <c r="G15" s="23" t="s">
        <v>41</v>
      </c>
    </row>
    <row r="16" spans="2:11" ht="15" customHeight="1" x14ac:dyDescent="0.25">
      <c r="B16" s="63" t="s">
        <v>42</v>
      </c>
      <c r="C16" s="63"/>
      <c r="D16" s="18" t="s">
        <v>43</v>
      </c>
      <c r="E16" s="22">
        <f>Data_Risk!B10</f>
        <v>1.48</v>
      </c>
      <c r="F16" s="20" t="s">
        <v>44</v>
      </c>
      <c r="G16" s="21" t="s">
        <v>35</v>
      </c>
    </row>
    <row r="17" spans="2:11" ht="15" customHeight="1" x14ac:dyDescent="0.25">
      <c r="B17" s="63" t="s">
        <v>45</v>
      </c>
      <c r="C17" s="63"/>
      <c r="D17" s="18" t="s">
        <v>46</v>
      </c>
      <c r="E17" s="19">
        <f>Data_Risk!B11</f>
        <v>0.13189999999999999</v>
      </c>
      <c r="F17" s="20" t="s">
        <v>47</v>
      </c>
      <c r="G17" s="24" t="s">
        <v>48</v>
      </c>
    </row>
    <row r="18" spans="2:11" ht="15" customHeight="1" x14ac:dyDescent="0.25">
      <c r="B18" s="63" t="s">
        <v>49</v>
      </c>
      <c r="C18" s="63"/>
      <c r="D18" s="18" t="s">
        <v>50</v>
      </c>
      <c r="E18" s="19">
        <f>Data_Risk!B12</f>
        <v>0.83250000000000002</v>
      </c>
      <c r="F18" s="20" t="s">
        <v>51</v>
      </c>
      <c r="G18" s="21" t="s">
        <v>35</v>
      </c>
    </row>
    <row r="19" spans="2:11" ht="15" customHeight="1" x14ac:dyDescent="0.25">
      <c r="B19" s="63" t="s">
        <v>52</v>
      </c>
      <c r="C19" s="63"/>
      <c r="D19" s="18" t="s">
        <v>53</v>
      </c>
      <c r="E19" s="19">
        <f>Data_Risk!B13</f>
        <v>0.80659999999999998</v>
      </c>
      <c r="F19" s="20" t="s">
        <v>54</v>
      </c>
      <c r="G19" s="23" t="s">
        <v>41</v>
      </c>
    </row>
    <row r="20" spans="2:11" ht="15" customHeight="1" x14ac:dyDescent="0.25">
      <c r="B20" s="63" t="s">
        <v>55</v>
      </c>
      <c r="C20" s="63"/>
      <c r="D20" s="18" t="s">
        <v>26</v>
      </c>
      <c r="E20" s="25">
        <f>Data_Risk!B7</f>
        <v>2681</v>
      </c>
      <c r="F20" s="20" t="s">
        <v>56</v>
      </c>
      <c r="G20" s="21" t="s">
        <v>35</v>
      </c>
    </row>
    <row r="21" spans="2:11" ht="15" customHeight="1" x14ac:dyDescent="0.25">
      <c r="B21" s="63" t="s">
        <v>57</v>
      </c>
      <c r="C21" s="63"/>
      <c r="D21" s="18" t="s">
        <v>58</v>
      </c>
      <c r="E21" s="25">
        <f>Data_Risk!B14</f>
        <v>45</v>
      </c>
      <c r="F21" s="20" t="s">
        <v>59</v>
      </c>
      <c r="G21" s="21" t="s">
        <v>35</v>
      </c>
    </row>
    <row r="23" spans="2:11" ht="15" customHeight="1" x14ac:dyDescent="0.25">
      <c r="D23" s="26" t="s">
        <v>60</v>
      </c>
      <c r="E23" s="27" t="s">
        <v>61</v>
      </c>
      <c r="F23" s="28" t="s">
        <v>62</v>
      </c>
      <c r="G23" s="29" t="s">
        <v>63</v>
      </c>
    </row>
    <row r="25" spans="2:11" ht="15.75" customHeight="1" x14ac:dyDescent="0.25">
      <c r="B25" s="2" t="s">
        <v>64</v>
      </c>
      <c r="C25" s="2"/>
      <c r="D25" s="2"/>
      <c r="E25" s="2"/>
      <c r="F25" s="2"/>
      <c r="G25" s="2"/>
      <c r="H25" s="2"/>
      <c r="I25" s="2"/>
      <c r="J25" s="2"/>
      <c r="K25" s="2"/>
    </row>
    <row r="45" spans="2:11" ht="15.75" customHeight="1" x14ac:dyDescent="0.25">
      <c r="B45" s="2" t="s">
        <v>65</v>
      </c>
      <c r="C45" s="2"/>
      <c r="D45" s="2"/>
      <c r="E45" s="2"/>
      <c r="F45" s="2"/>
      <c r="G45" s="2"/>
      <c r="H45" s="2"/>
      <c r="I45" s="2"/>
      <c r="J45" s="2"/>
      <c r="K45" s="2"/>
    </row>
    <row r="46" spans="2:11" ht="15" customHeight="1" x14ac:dyDescent="0.25">
      <c r="B46" s="64" t="s">
        <v>66</v>
      </c>
      <c r="C46" s="64"/>
      <c r="D46" s="64"/>
      <c r="E46" s="30">
        <f>Data_Risk!B25</f>
        <v>0.01</v>
      </c>
      <c r="F46" s="31" t="s">
        <v>67</v>
      </c>
    </row>
    <row r="48" spans="2:11" ht="15" customHeight="1" x14ac:dyDescent="0.25">
      <c r="B48" s="65" t="s">
        <v>68</v>
      </c>
      <c r="C48" s="65"/>
      <c r="D48" s="65"/>
      <c r="E48" s="32">
        <f>Data_Risk!B34</f>
        <v>248</v>
      </c>
    </row>
    <row r="49" spans="2:11" ht="15" customHeight="1" x14ac:dyDescent="0.25">
      <c r="B49" s="65" t="s">
        <v>69</v>
      </c>
      <c r="C49" s="65"/>
      <c r="D49" s="65"/>
      <c r="E49" s="33">
        <f>Data_Risk!B35</f>
        <v>226.19050000000001</v>
      </c>
    </row>
    <row r="50" spans="2:11" ht="15" customHeight="1" x14ac:dyDescent="0.25">
      <c r="B50" s="65" t="s">
        <v>70</v>
      </c>
      <c r="C50" s="65"/>
      <c r="D50" s="65"/>
      <c r="E50" s="34">
        <f>Data_Risk!B36</f>
        <v>-21.809499999999986</v>
      </c>
    </row>
    <row r="51" spans="2:11" ht="15" customHeight="1" x14ac:dyDescent="0.25">
      <c r="B51" s="65" t="s">
        <v>71</v>
      </c>
      <c r="C51" s="65"/>
      <c r="D51" s="65"/>
      <c r="E51" s="35">
        <f>Data_Risk!B37</f>
        <v>-8.7941532258064462E-2</v>
      </c>
    </row>
    <row r="54" spans="2:11" ht="15.75" customHeight="1" x14ac:dyDescent="0.25">
      <c r="B54" s="2" t="s">
        <v>72</v>
      </c>
      <c r="C54" s="2"/>
      <c r="D54" s="2"/>
      <c r="E54" s="2"/>
      <c r="F54" s="2"/>
      <c r="G54" s="2"/>
      <c r="H54" s="2"/>
      <c r="I54" s="2"/>
      <c r="J54" s="2"/>
      <c r="K54" s="2"/>
    </row>
    <row r="55" spans="2:11" ht="15" customHeight="1" x14ac:dyDescent="0.25">
      <c r="B55" s="1" t="s">
        <v>73</v>
      </c>
      <c r="C55" s="1"/>
      <c r="D55" s="1"/>
      <c r="E55" s="1"/>
      <c r="F55" s="1"/>
      <c r="G55" s="1"/>
      <c r="H55" s="1"/>
      <c r="I55" s="1"/>
      <c r="J55" s="1"/>
      <c r="K55" s="1"/>
    </row>
    <row r="56" spans="2:11" ht="15" customHeight="1" x14ac:dyDescent="0.25">
      <c r="B56" s="1" t="s">
        <v>74</v>
      </c>
      <c r="C56" s="1"/>
      <c r="D56" s="1"/>
      <c r="E56" s="1"/>
      <c r="F56" s="1"/>
      <c r="G56" s="1"/>
      <c r="H56" s="1"/>
      <c r="I56" s="1"/>
      <c r="J56" s="1"/>
      <c r="K56" s="1"/>
    </row>
    <row r="57" spans="2:11" ht="15" customHeight="1" x14ac:dyDescent="0.25">
      <c r="B57" s="1" t="s">
        <v>75</v>
      </c>
      <c r="C57" s="1"/>
      <c r="D57" s="1"/>
      <c r="E57" s="1"/>
      <c r="F57" s="1"/>
      <c r="G57" s="1"/>
      <c r="H57" s="1"/>
      <c r="I57" s="1"/>
      <c r="J57" s="1"/>
      <c r="K57" s="1"/>
    </row>
    <row r="58" spans="2:11" ht="15" customHeight="1" x14ac:dyDescent="0.25">
      <c r="B58" s="1" t="s">
        <v>76</v>
      </c>
      <c r="C58" s="1"/>
      <c r="D58" s="1"/>
      <c r="E58" s="1"/>
      <c r="F58" s="1"/>
      <c r="G58" s="1"/>
      <c r="H58" s="1"/>
      <c r="I58" s="1"/>
      <c r="J58" s="1"/>
      <c r="K58" s="1"/>
    </row>
    <row r="59" spans="2:11" ht="15" customHeight="1" x14ac:dyDescent="0.25">
      <c r="B59" s="1" t="s">
        <v>77</v>
      </c>
      <c r="C59" s="1"/>
      <c r="D59" s="1"/>
      <c r="E59" s="1"/>
      <c r="F59" s="1"/>
      <c r="G59" s="1"/>
      <c r="H59" s="1"/>
      <c r="I59" s="1"/>
      <c r="J59" s="1"/>
      <c r="K59" s="1"/>
    </row>
    <row r="60" spans="2:11" ht="15" customHeight="1" x14ac:dyDescent="0.25">
      <c r="B60" s="1" t="s">
        <v>78</v>
      </c>
      <c r="C60" s="1"/>
      <c r="D60" s="1"/>
      <c r="E60" s="1"/>
      <c r="F60" s="1"/>
      <c r="G60" s="1"/>
      <c r="H60" s="1"/>
      <c r="I60" s="1"/>
      <c r="J60" s="1"/>
      <c r="K60" s="1"/>
    </row>
  </sheetData>
  <mergeCells count="39">
    <mergeCell ref="B60:K60"/>
    <mergeCell ref="B55:K55"/>
    <mergeCell ref="B56:K56"/>
    <mergeCell ref="B57:K57"/>
    <mergeCell ref="B58:K58"/>
    <mergeCell ref="B59:K59"/>
    <mergeCell ref="B48:D48"/>
    <mergeCell ref="B49:D49"/>
    <mergeCell ref="B50:D50"/>
    <mergeCell ref="B51:D51"/>
    <mergeCell ref="B54:K54"/>
    <mergeCell ref="B20:C20"/>
    <mergeCell ref="B21:C21"/>
    <mergeCell ref="B25:K25"/>
    <mergeCell ref="B45:K45"/>
    <mergeCell ref="B46:D46"/>
    <mergeCell ref="B15:C15"/>
    <mergeCell ref="B16:C16"/>
    <mergeCell ref="B17:C17"/>
    <mergeCell ref="B18:C18"/>
    <mergeCell ref="B19:C19"/>
    <mergeCell ref="G8:G9"/>
    <mergeCell ref="B11:K11"/>
    <mergeCell ref="B12:C12"/>
    <mergeCell ref="B13:C13"/>
    <mergeCell ref="B14:C14"/>
    <mergeCell ref="B8:B9"/>
    <mergeCell ref="C8:C9"/>
    <mergeCell ref="D8:D9"/>
    <mergeCell ref="E8:E9"/>
    <mergeCell ref="F8:F9"/>
    <mergeCell ref="B2:K3"/>
    <mergeCell ref="B4:K4"/>
    <mergeCell ref="B6:B7"/>
    <mergeCell ref="C6:C7"/>
    <mergeCell ref="D6:D7"/>
    <mergeCell ref="E6:E7"/>
    <mergeCell ref="F6:F7"/>
    <mergeCell ref="G6:G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3" sqref="A23"/>
    </sheetView>
  </sheetViews>
  <sheetFormatPr defaultColWidth="8.7109375" defaultRowHeight="15" x14ac:dyDescent="0.25"/>
  <cols>
    <col min="1" max="1" width="71.42578125" style="15" customWidth="1"/>
    <col min="2" max="14" width="11" style="15" customWidth="1"/>
  </cols>
  <sheetData>
    <row r="1" spans="1:14" ht="15" customHeight="1" x14ac:dyDescent="0.25">
      <c r="A1" s="36" t="s">
        <v>79</v>
      </c>
    </row>
    <row r="2" spans="1:14" ht="15" customHeight="1" x14ac:dyDescent="0.25">
      <c r="A2" s="31" t="s">
        <v>80</v>
      </c>
    </row>
    <row r="4" spans="1:14" ht="15" customHeight="1" x14ac:dyDescent="0.25">
      <c r="A4" s="17" t="s">
        <v>81</v>
      </c>
      <c r="B4" s="17" t="s">
        <v>82</v>
      </c>
      <c r="C4" s="17" t="s">
        <v>83</v>
      </c>
      <c r="D4" s="17" t="s">
        <v>84</v>
      </c>
      <c r="E4" s="17" t="s">
        <v>85</v>
      </c>
      <c r="F4" s="17" t="s">
        <v>86</v>
      </c>
      <c r="G4" s="17" t="s">
        <v>87</v>
      </c>
      <c r="H4" s="17" t="s">
        <v>88</v>
      </c>
      <c r="I4" s="17" t="s">
        <v>89</v>
      </c>
      <c r="J4" s="17" t="s">
        <v>90</v>
      </c>
      <c r="K4" s="17" t="s">
        <v>91</v>
      </c>
      <c r="L4" s="17" t="s">
        <v>92</v>
      </c>
      <c r="M4" s="17" t="s">
        <v>9</v>
      </c>
      <c r="N4" s="17" t="s">
        <v>93</v>
      </c>
    </row>
    <row r="5" spans="1:14" ht="15" customHeight="1" x14ac:dyDescent="0.25">
      <c r="A5" s="37" t="s">
        <v>94</v>
      </c>
      <c r="B5" s="38">
        <v>3701</v>
      </c>
      <c r="C5" s="38">
        <v>3415</v>
      </c>
      <c r="D5" s="38">
        <v>4041</v>
      </c>
      <c r="E5" s="38">
        <v>3884</v>
      </c>
      <c r="F5" s="38">
        <v>2275</v>
      </c>
      <c r="G5" s="38">
        <v>2362</v>
      </c>
      <c r="H5" s="38">
        <v>2617</v>
      </c>
      <c r="I5" s="38">
        <v>1995</v>
      </c>
      <c r="J5" s="38">
        <v>3380</v>
      </c>
      <c r="K5" s="38">
        <v>3891</v>
      </c>
      <c r="L5" s="38">
        <v>4544</v>
      </c>
      <c r="M5" s="38">
        <v>5093</v>
      </c>
      <c r="N5" s="38">
        <v>5293</v>
      </c>
    </row>
    <row r="6" spans="1:14" ht="15" customHeight="1" x14ac:dyDescent="0.25">
      <c r="A6" s="37" t="s">
        <v>95</v>
      </c>
      <c r="B6" s="38">
        <v>3234</v>
      </c>
      <c r="C6" s="38">
        <v>2919</v>
      </c>
      <c r="D6" s="38">
        <v>3642</v>
      </c>
      <c r="E6" s="38">
        <v>3463</v>
      </c>
      <c r="F6" s="38">
        <v>1743</v>
      </c>
      <c r="G6" s="38">
        <v>1985</v>
      </c>
      <c r="H6" s="38">
        <v>2432</v>
      </c>
      <c r="I6" s="38">
        <v>1750</v>
      </c>
      <c r="J6" s="38">
        <v>2850</v>
      </c>
      <c r="K6" s="38">
        <v>3330</v>
      </c>
      <c r="L6" s="38">
        <v>3854</v>
      </c>
      <c r="M6" s="38">
        <v>4345</v>
      </c>
      <c r="N6" s="38">
        <v>4606</v>
      </c>
    </row>
    <row r="7" spans="1:14" ht="15" customHeight="1" x14ac:dyDescent="0.25">
      <c r="A7" s="37" t="s">
        <v>96</v>
      </c>
      <c r="B7" s="38">
        <v>467</v>
      </c>
      <c r="C7" s="38">
        <v>496</v>
      </c>
      <c r="D7" s="38">
        <v>399</v>
      </c>
      <c r="E7" s="38">
        <v>421</v>
      </c>
      <c r="F7" s="38">
        <v>531</v>
      </c>
      <c r="G7" s="38">
        <v>377</v>
      </c>
      <c r="H7" s="38">
        <v>185</v>
      </c>
      <c r="I7" s="38">
        <v>244</v>
      </c>
      <c r="J7" s="38">
        <v>530</v>
      </c>
      <c r="K7" s="38">
        <v>562</v>
      </c>
      <c r="L7" s="38">
        <v>690</v>
      </c>
      <c r="M7" s="38">
        <v>749</v>
      </c>
      <c r="N7" s="38">
        <v>687</v>
      </c>
    </row>
    <row r="8" spans="1:14" ht="15" customHeight="1" x14ac:dyDescent="0.25">
      <c r="A8" s="37" t="s">
        <v>97</v>
      </c>
      <c r="B8" s="38">
        <v>99</v>
      </c>
      <c r="C8" s="38">
        <v>131</v>
      </c>
      <c r="D8" s="38">
        <v>41</v>
      </c>
      <c r="E8" s="38">
        <v>165</v>
      </c>
      <c r="F8" s="38">
        <v>106</v>
      </c>
      <c r="G8" s="38">
        <v>247</v>
      </c>
      <c r="H8" s="38">
        <v>202</v>
      </c>
      <c r="I8" s="38">
        <v>-115</v>
      </c>
      <c r="J8" s="38">
        <v>83</v>
      </c>
      <c r="K8" s="38">
        <v>149</v>
      </c>
      <c r="L8" s="38">
        <v>163</v>
      </c>
      <c r="M8" s="38">
        <v>-1</v>
      </c>
      <c r="N8" s="38">
        <v>-5</v>
      </c>
    </row>
    <row r="9" spans="1:14" ht="15" customHeight="1" x14ac:dyDescent="0.25">
      <c r="A9" s="37" t="s">
        <v>98</v>
      </c>
      <c r="B9" s="38">
        <v>438</v>
      </c>
      <c r="C9" s="38">
        <v>516</v>
      </c>
      <c r="D9" s="38">
        <v>602</v>
      </c>
      <c r="E9" s="38">
        <v>579</v>
      </c>
      <c r="F9" s="38">
        <v>489</v>
      </c>
      <c r="G9" s="38">
        <v>370</v>
      </c>
      <c r="H9" s="38">
        <v>266</v>
      </c>
      <c r="I9" s="38">
        <v>401</v>
      </c>
      <c r="J9" s="38">
        <v>420</v>
      </c>
      <c r="K9" s="38">
        <v>412</v>
      </c>
      <c r="L9" s="38">
        <v>362</v>
      </c>
      <c r="M9" s="38">
        <v>322</v>
      </c>
      <c r="N9" s="38">
        <v>296</v>
      </c>
    </row>
    <row r="10" spans="1:14" ht="15" customHeight="1" x14ac:dyDescent="0.25">
      <c r="A10" s="37" t="s">
        <v>99</v>
      </c>
      <c r="B10" s="38">
        <v>82</v>
      </c>
      <c r="C10" s="38">
        <v>80</v>
      </c>
      <c r="D10" s="38">
        <v>55</v>
      </c>
      <c r="E10" s="38">
        <v>78</v>
      </c>
      <c r="F10" s="38">
        <v>54</v>
      </c>
      <c r="G10" s="38">
        <v>50</v>
      </c>
      <c r="H10" s="38">
        <v>66</v>
      </c>
      <c r="I10" s="38">
        <v>72</v>
      </c>
      <c r="J10" s="38">
        <v>82</v>
      </c>
      <c r="K10" s="38">
        <v>81</v>
      </c>
      <c r="L10" s="38">
        <v>98</v>
      </c>
      <c r="M10" s="38">
        <v>100</v>
      </c>
      <c r="N10" s="38">
        <v>104</v>
      </c>
    </row>
    <row r="11" spans="1:14" ht="15" customHeight="1" x14ac:dyDescent="0.25">
      <c r="A11" s="37" t="s">
        <v>100</v>
      </c>
      <c r="B11" s="38">
        <v>46</v>
      </c>
      <c r="C11" s="38">
        <v>32</v>
      </c>
      <c r="D11" s="38">
        <v>-216</v>
      </c>
      <c r="E11" s="38">
        <v>-71</v>
      </c>
      <c r="F11" s="38">
        <v>94</v>
      </c>
      <c r="G11" s="38">
        <v>204</v>
      </c>
      <c r="H11" s="38">
        <v>55</v>
      </c>
      <c r="I11" s="38">
        <v>-344</v>
      </c>
      <c r="J11" s="38">
        <v>112</v>
      </c>
      <c r="K11" s="38">
        <v>218</v>
      </c>
      <c r="L11" s="38">
        <v>393</v>
      </c>
      <c r="M11" s="38">
        <v>326</v>
      </c>
      <c r="N11" s="38">
        <v>283</v>
      </c>
    </row>
    <row r="12" spans="1:14" ht="15" customHeight="1" x14ac:dyDescent="0.25">
      <c r="A12" s="37" t="s">
        <v>101</v>
      </c>
      <c r="B12" s="39">
        <v>0.46</v>
      </c>
      <c r="C12" s="39">
        <v>0.69</v>
      </c>
      <c r="D12" s="39">
        <v>-0.09</v>
      </c>
      <c r="E12" s="39">
        <v>0.45</v>
      </c>
      <c r="F12" s="39">
        <v>-0.12</v>
      </c>
      <c r="G12" s="39">
        <v>0.22</v>
      </c>
      <c r="H12" s="39">
        <v>0.43</v>
      </c>
      <c r="I12" s="39">
        <v>-0.21</v>
      </c>
      <c r="J12" s="39">
        <v>0.39</v>
      </c>
      <c r="K12" s="39">
        <v>0.18</v>
      </c>
      <c r="L12" s="39">
        <v>0.26</v>
      </c>
      <c r="M12" s="39">
        <v>0.27</v>
      </c>
      <c r="N12" s="39"/>
    </row>
    <row r="13" spans="1:14" ht="15" customHeight="1" x14ac:dyDescent="0.25">
      <c r="A13" s="37" t="s">
        <v>102</v>
      </c>
      <c r="B13" s="38">
        <v>25</v>
      </c>
      <c r="C13" s="38">
        <v>10</v>
      </c>
      <c r="D13" s="38">
        <v>-196</v>
      </c>
      <c r="E13" s="38">
        <v>-103</v>
      </c>
      <c r="F13" s="38">
        <v>105</v>
      </c>
      <c r="G13" s="38">
        <v>154</v>
      </c>
      <c r="H13" s="38">
        <v>11</v>
      </c>
      <c r="I13" s="38">
        <v>-291</v>
      </c>
      <c r="J13" s="38">
        <v>72</v>
      </c>
      <c r="K13" s="38">
        <v>183</v>
      </c>
      <c r="L13" s="38">
        <v>290</v>
      </c>
      <c r="M13" s="38">
        <v>248</v>
      </c>
      <c r="N13" s="38">
        <v>264</v>
      </c>
    </row>
    <row r="14" spans="1:14" ht="15" customHeight="1" x14ac:dyDescent="0.25">
      <c r="A14" s="37" t="s">
        <v>103</v>
      </c>
      <c r="B14" s="40">
        <v>0.51</v>
      </c>
      <c r="C14" s="40">
        <v>0.26</v>
      </c>
      <c r="D14" s="40">
        <v>-6.04</v>
      </c>
      <c r="E14" s="40">
        <v>-1.55</v>
      </c>
      <c r="F14" s="40">
        <v>1.58</v>
      </c>
      <c r="G14" s="40">
        <v>2.2200000000000002</v>
      </c>
      <c r="H14" s="40">
        <v>0.15</v>
      </c>
      <c r="I14" s="40">
        <v>-3.54</v>
      </c>
      <c r="J14" s="40">
        <v>0.85</v>
      </c>
      <c r="K14" s="40">
        <v>2.02</v>
      </c>
      <c r="L14" s="40">
        <v>3.19</v>
      </c>
      <c r="M14" s="40">
        <v>2.5</v>
      </c>
      <c r="N14" s="40">
        <v>2.57</v>
      </c>
    </row>
    <row r="15" spans="1:14" ht="15" customHeight="1" x14ac:dyDescent="0.25">
      <c r="A15" s="37" t="s">
        <v>104</v>
      </c>
      <c r="B15" s="41">
        <f t="shared" ref="B15:N15" si="0">B7/B5</f>
        <v>0.12618211294244799</v>
      </c>
      <c r="C15" s="41">
        <f t="shared" si="0"/>
        <v>0.14524158125915079</v>
      </c>
      <c r="D15" s="41">
        <f t="shared" si="0"/>
        <v>9.8737936154417227E-2</v>
      </c>
      <c r="E15" s="41">
        <f t="shared" si="0"/>
        <v>0.10839340885684862</v>
      </c>
      <c r="F15" s="41">
        <f t="shared" si="0"/>
        <v>0.23340659340659339</v>
      </c>
      <c r="G15" s="41">
        <f t="shared" si="0"/>
        <v>0.15961049957662998</v>
      </c>
      <c r="H15" s="41">
        <f t="shared" si="0"/>
        <v>7.0691631639281619E-2</v>
      </c>
      <c r="I15" s="41">
        <f t="shared" si="0"/>
        <v>0.12230576441102757</v>
      </c>
      <c r="J15" s="41">
        <f t="shared" si="0"/>
        <v>0.15680473372781065</v>
      </c>
      <c r="K15" s="41">
        <f t="shared" si="0"/>
        <v>0.14443587766640967</v>
      </c>
      <c r="L15" s="41">
        <f t="shared" si="0"/>
        <v>0.15184859154929578</v>
      </c>
      <c r="M15" s="41">
        <f t="shared" si="0"/>
        <v>0.14706459846848616</v>
      </c>
      <c r="N15" s="41">
        <f t="shared" si="0"/>
        <v>0.12979406763650103</v>
      </c>
    </row>
    <row r="16" spans="1:14" ht="15" customHeight="1" x14ac:dyDescent="0.25">
      <c r="A16" s="37" t="s">
        <v>105</v>
      </c>
      <c r="B16" s="41">
        <f t="shared" ref="B16:N16" si="1">B13/B5</f>
        <v>6.754931099702783E-3</v>
      </c>
      <c r="C16" s="41">
        <f t="shared" si="1"/>
        <v>2.9282576866764276E-3</v>
      </c>
      <c r="D16" s="41">
        <f t="shared" si="1"/>
        <v>-4.8502845830240039E-2</v>
      </c>
      <c r="E16" s="41">
        <f t="shared" si="1"/>
        <v>-2.6519052523171986E-2</v>
      </c>
      <c r="F16" s="41">
        <f t="shared" si="1"/>
        <v>4.6153846153846156E-2</v>
      </c>
      <c r="G16" s="41">
        <f t="shared" si="1"/>
        <v>6.519898391193904E-2</v>
      </c>
      <c r="H16" s="41">
        <f t="shared" si="1"/>
        <v>4.2032862055789069E-3</v>
      </c>
      <c r="I16" s="41">
        <f t="shared" si="1"/>
        <v>-0.14586466165413534</v>
      </c>
      <c r="J16" s="41">
        <f t="shared" si="1"/>
        <v>2.1301775147928994E-2</v>
      </c>
      <c r="K16" s="41">
        <f t="shared" si="1"/>
        <v>4.7031611410948346E-2</v>
      </c>
      <c r="L16" s="41">
        <f t="shared" si="1"/>
        <v>6.3820422535211266E-2</v>
      </c>
      <c r="M16" s="41">
        <f t="shared" si="1"/>
        <v>4.8694286275279795E-2</v>
      </c>
      <c r="N16" s="41">
        <f t="shared" si="1"/>
        <v>4.9877196296996031E-2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76.85546875" style="15" customWidth="1"/>
    <col min="2" max="14" width="11" style="15" customWidth="1"/>
  </cols>
  <sheetData>
    <row r="1" spans="1:14" ht="15" customHeight="1" x14ac:dyDescent="0.25">
      <c r="A1" s="36" t="s">
        <v>106</v>
      </c>
    </row>
    <row r="2" spans="1:14" ht="15" customHeight="1" x14ac:dyDescent="0.25">
      <c r="A2" s="31" t="s">
        <v>80</v>
      </c>
    </row>
    <row r="4" spans="1:14" ht="15" customHeight="1" x14ac:dyDescent="0.25">
      <c r="A4" s="17" t="s">
        <v>81</v>
      </c>
      <c r="B4" s="17" t="s">
        <v>82</v>
      </c>
      <c r="C4" s="17" t="s">
        <v>83</v>
      </c>
      <c r="D4" s="17" t="s">
        <v>84</v>
      </c>
      <c r="E4" s="17" t="s">
        <v>85</v>
      </c>
      <c r="F4" s="17" t="s">
        <v>86</v>
      </c>
      <c r="G4" s="17" t="s">
        <v>87</v>
      </c>
      <c r="H4" s="17" t="s">
        <v>88</v>
      </c>
      <c r="I4" s="17" t="s">
        <v>89</v>
      </c>
      <c r="J4" s="17" t="s">
        <v>90</v>
      </c>
      <c r="K4" s="17" t="s">
        <v>91</v>
      </c>
      <c r="L4" s="17" t="s">
        <v>92</v>
      </c>
      <c r="M4" s="17" t="s">
        <v>9</v>
      </c>
      <c r="N4" s="17" t="s">
        <v>107</v>
      </c>
    </row>
    <row r="5" spans="1:14" ht="15" customHeight="1" x14ac:dyDescent="0.25">
      <c r="A5" s="37" t="s">
        <v>108</v>
      </c>
      <c r="B5" s="38">
        <v>8</v>
      </c>
      <c r="C5" s="38">
        <v>8</v>
      </c>
      <c r="D5" s="38">
        <v>8</v>
      </c>
      <c r="E5" s="38">
        <v>16</v>
      </c>
      <c r="F5" s="38">
        <v>16</v>
      </c>
      <c r="G5" s="38">
        <v>16</v>
      </c>
      <c r="H5" s="38">
        <v>41</v>
      </c>
      <c r="I5" s="38">
        <v>47</v>
      </c>
      <c r="J5" s="38">
        <v>48</v>
      </c>
      <c r="K5" s="38">
        <v>77</v>
      </c>
      <c r="L5" s="38">
        <v>77</v>
      </c>
      <c r="M5" s="38">
        <v>84</v>
      </c>
      <c r="N5" s="38">
        <v>84</v>
      </c>
    </row>
    <row r="6" spans="1:14" ht="15" customHeight="1" x14ac:dyDescent="0.25">
      <c r="A6" s="37" t="s">
        <v>109</v>
      </c>
      <c r="B6" s="38">
        <v>1785</v>
      </c>
      <c r="C6" s="38">
        <v>1885</v>
      </c>
      <c r="D6" s="38">
        <v>1705</v>
      </c>
      <c r="E6" s="38">
        <v>2123</v>
      </c>
      <c r="F6" s="38">
        <v>2144</v>
      </c>
      <c r="G6" s="38">
        <v>2260</v>
      </c>
      <c r="H6" s="38">
        <v>2506</v>
      </c>
      <c r="I6" s="38">
        <v>2273</v>
      </c>
      <c r="J6" s="38">
        <v>2336</v>
      </c>
      <c r="K6" s="38">
        <v>2811</v>
      </c>
      <c r="L6" s="38">
        <v>3076</v>
      </c>
      <c r="M6" s="38">
        <v>3700</v>
      </c>
      <c r="N6" s="38">
        <v>3849</v>
      </c>
    </row>
    <row r="7" spans="1:14" ht="15" customHeight="1" x14ac:dyDescent="0.25">
      <c r="A7" s="37" t="s">
        <v>110</v>
      </c>
      <c r="B7" s="38">
        <v>4478</v>
      </c>
      <c r="C7" s="38">
        <v>5163</v>
      </c>
      <c r="D7" s="38">
        <v>5395</v>
      </c>
      <c r="E7" s="38">
        <v>4982</v>
      </c>
      <c r="F7" s="38">
        <v>2910</v>
      </c>
      <c r="G7" s="38">
        <v>2698</v>
      </c>
      <c r="H7" s="38">
        <v>2296</v>
      </c>
      <c r="I7" s="38">
        <v>2296</v>
      </c>
      <c r="J7" s="38">
        <v>2292</v>
      </c>
      <c r="K7" s="38">
        <v>1758</v>
      </c>
      <c r="L7" s="38">
        <v>1910</v>
      </c>
      <c r="M7" s="38">
        <v>1615</v>
      </c>
      <c r="N7" s="38">
        <v>1560</v>
      </c>
    </row>
    <row r="8" spans="1:14" ht="15" customHeight="1" x14ac:dyDescent="0.25">
      <c r="A8" s="37" t="s">
        <v>111</v>
      </c>
      <c r="B8" s="38">
        <v>2337</v>
      </c>
      <c r="C8" s="38">
        <v>2183</v>
      </c>
      <c r="D8" s="38">
        <v>2404</v>
      </c>
      <c r="E8" s="38">
        <v>2555</v>
      </c>
      <c r="F8" s="38">
        <v>2344</v>
      </c>
      <c r="G8" s="38">
        <v>3226</v>
      </c>
      <c r="H8" s="38">
        <v>3485</v>
      </c>
      <c r="I8" s="38">
        <v>3471</v>
      </c>
      <c r="J8" s="38">
        <v>3835</v>
      </c>
      <c r="K8" s="38">
        <v>4111</v>
      </c>
      <c r="L8" s="38">
        <v>3933</v>
      </c>
      <c r="M8" s="38">
        <v>4180</v>
      </c>
      <c r="N8" s="38">
        <v>4126</v>
      </c>
    </row>
    <row r="9" spans="1:14" ht="15" customHeight="1" x14ac:dyDescent="0.25">
      <c r="A9" s="42" t="s">
        <v>112</v>
      </c>
      <c r="B9" s="43">
        <f t="shared" ref="B9:N9" si="0">SUM(B5:B8)</f>
        <v>8608</v>
      </c>
      <c r="C9" s="43">
        <f t="shared" si="0"/>
        <v>9239</v>
      </c>
      <c r="D9" s="43">
        <f t="shared" si="0"/>
        <v>9512</v>
      </c>
      <c r="E9" s="43">
        <f t="shared" si="0"/>
        <v>9676</v>
      </c>
      <c r="F9" s="43">
        <f t="shared" si="0"/>
        <v>7414</v>
      </c>
      <c r="G9" s="43">
        <f t="shared" si="0"/>
        <v>8200</v>
      </c>
      <c r="H9" s="43">
        <f t="shared" si="0"/>
        <v>8328</v>
      </c>
      <c r="I9" s="43">
        <f t="shared" si="0"/>
        <v>8087</v>
      </c>
      <c r="J9" s="43">
        <f t="shared" si="0"/>
        <v>8511</v>
      </c>
      <c r="K9" s="43">
        <f t="shared" si="0"/>
        <v>8757</v>
      </c>
      <c r="L9" s="43">
        <f t="shared" si="0"/>
        <v>8996</v>
      </c>
      <c r="M9" s="43">
        <f t="shared" si="0"/>
        <v>9579</v>
      </c>
      <c r="N9" s="43">
        <f t="shared" si="0"/>
        <v>9619</v>
      </c>
    </row>
    <row r="10" spans="1:14" ht="15" customHeight="1" x14ac:dyDescent="0.25">
      <c r="A10" s="37" t="s">
        <v>113</v>
      </c>
      <c r="B10" s="38">
        <v>674</v>
      </c>
      <c r="C10" s="38">
        <v>658</v>
      </c>
      <c r="D10" s="38">
        <v>622</v>
      </c>
      <c r="E10" s="38">
        <v>629</v>
      </c>
      <c r="F10" s="38">
        <v>556</v>
      </c>
      <c r="G10" s="38">
        <v>578</v>
      </c>
      <c r="H10" s="38">
        <v>607</v>
      </c>
      <c r="I10" s="38">
        <v>683</v>
      </c>
      <c r="J10" s="38">
        <v>1181</v>
      </c>
      <c r="K10" s="38">
        <v>1231</v>
      </c>
      <c r="L10" s="38">
        <v>1319</v>
      </c>
      <c r="M10" s="38">
        <v>1328</v>
      </c>
      <c r="N10" s="38">
        <v>1324</v>
      </c>
    </row>
    <row r="11" spans="1:14" ht="15" customHeight="1" x14ac:dyDescent="0.25">
      <c r="A11" s="37" t="s">
        <v>114</v>
      </c>
      <c r="B11" s="38">
        <v>786</v>
      </c>
      <c r="C11" s="38">
        <v>982</v>
      </c>
      <c r="D11" s="38">
        <v>837</v>
      </c>
      <c r="E11" s="38">
        <v>868</v>
      </c>
      <c r="F11" s="38">
        <v>792</v>
      </c>
      <c r="G11" s="38">
        <v>1063</v>
      </c>
      <c r="H11" s="38">
        <v>1141</v>
      </c>
      <c r="I11" s="38">
        <v>679</v>
      </c>
      <c r="J11" s="38">
        <v>283</v>
      </c>
      <c r="K11" s="38">
        <v>294</v>
      </c>
      <c r="L11" s="38">
        <v>233</v>
      </c>
      <c r="M11" s="38">
        <v>171</v>
      </c>
      <c r="N11" s="38">
        <v>168</v>
      </c>
    </row>
    <row r="12" spans="1:14" ht="15" customHeight="1" x14ac:dyDescent="0.25">
      <c r="A12" s="37" t="s">
        <v>115</v>
      </c>
      <c r="B12" s="38">
        <v>134</v>
      </c>
      <c r="C12" s="38">
        <v>182</v>
      </c>
      <c r="D12" s="38">
        <v>164</v>
      </c>
      <c r="E12" s="38">
        <v>138</v>
      </c>
      <c r="F12" s="38">
        <v>140</v>
      </c>
      <c r="G12" s="38">
        <v>116</v>
      </c>
      <c r="H12" s="38">
        <v>79</v>
      </c>
      <c r="I12" s="38">
        <v>68</v>
      </c>
      <c r="J12" s="38">
        <v>82</v>
      </c>
      <c r="K12" s="38">
        <v>135</v>
      </c>
      <c r="L12" s="38">
        <v>155</v>
      </c>
      <c r="M12" s="38">
        <v>181</v>
      </c>
      <c r="N12" s="38">
        <v>118</v>
      </c>
    </row>
    <row r="13" spans="1:14" ht="15" customHeight="1" x14ac:dyDescent="0.25">
      <c r="A13" s="37" t="s">
        <v>116</v>
      </c>
      <c r="B13" s="38">
        <v>7014</v>
      </c>
      <c r="C13" s="38">
        <v>7417</v>
      </c>
      <c r="D13" s="38">
        <v>7889</v>
      </c>
      <c r="E13" s="38">
        <v>8040</v>
      </c>
      <c r="F13" s="38">
        <v>5926</v>
      </c>
      <c r="G13" s="38">
        <v>6443</v>
      </c>
      <c r="H13" s="38">
        <v>6501</v>
      </c>
      <c r="I13" s="38">
        <v>6658</v>
      </c>
      <c r="J13" s="38">
        <v>6965</v>
      </c>
      <c r="K13" s="38">
        <v>7096</v>
      </c>
      <c r="L13" s="38">
        <v>7289</v>
      </c>
      <c r="M13" s="38">
        <v>7900</v>
      </c>
      <c r="N13" s="38">
        <v>8009</v>
      </c>
    </row>
    <row r="14" spans="1:14" ht="15" customHeight="1" x14ac:dyDescent="0.25">
      <c r="A14" s="42" t="s">
        <v>117</v>
      </c>
      <c r="B14" s="43">
        <f t="shared" ref="B14:N14" si="1">SUM(B10:B13)</f>
        <v>8608</v>
      </c>
      <c r="C14" s="43">
        <f t="shared" si="1"/>
        <v>9239</v>
      </c>
      <c r="D14" s="43">
        <f t="shared" si="1"/>
        <v>9512</v>
      </c>
      <c r="E14" s="43">
        <f t="shared" si="1"/>
        <v>9675</v>
      </c>
      <c r="F14" s="43">
        <f t="shared" si="1"/>
        <v>7414</v>
      </c>
      <c r="G14" s="43">
        <f t="shared" si="1"/>
        <v>8200</v>
      </c>
      <c r="H14" s="43">
        <f t="shared" si="1"/>
        <v>8328</v>
      </c>
      <c r="I14" s="43">
        <f t="shared" si="1"/>
        <v>8088</v>
      </c>
      <c r="J14" s="43">
        <f t="shared" si="1"/>
        <v>8511</v>
      </c>
      <c r="K14" s="43">
        <f t="shared" si="1"/>
        <v>8756</v>
      </c>
      <c r="L14" s="43">
        <f t="shared" si="1"/>
        <v>8996</v>
      </c>
      <c r="M14" s="43">
        <f t="shared" si="1"/>
        <v>9580</v>
      </c>
      <c r="N14" s="43">
        <f t="shared" si="1"/>
        <v>9619</v>
      </c>
    </row>
    <row r="16" spans="1:14" ht="15" customHeight="1" x14ac:dyDescent="0.25">
      <c r="A16" s="37" t="s">
        <v>118</v>
      </c>
      <c r="B16" s="44">
        <f t="shared" ref="B16:N16" si="2">B7/(B5+B6)</f>
        <v>2.497490239821528</v>
      </c>
      <c r="C16" s="44">
        <f t="shared" si="2"/>
        <v>2.7274167987321714</v>
      </c>
      <c r="D16" s="44">
        <f t="shared" si="2"/>
        <v>3.1494454173963806</v>
      </c>
      <c r="E16" s="44">
        <f t="shared" si="2"/>
        <v>2.3291257597007946</v>
      </c>
      <c r="F16" s="44">
        <f t="shared" si="2"/>
        <v>1.3472222222222223</v>
      </c>
      <c r="G16" s="44">
        <f t="shared" si="2"/>
        <v>1.1854130052724077</v>
      </c>
      <c r="H16" s="44">
        <f t="shared" si="2"/>
        <v>0.90145268943855517</v>
      </c>
      <c r="I16" s="44">
        <f t="shared" si="2"/>
        <v>0.98965517241379308</v>
      </c>
      <c r="J16" s="44">
        <f t="shared" si="2"/>
        <v>0.96140939597315433</v>
      </c>
      <c r="K16" s="44">
        <f t="shared" si="2"/>
        <v>0.6087257617728532</v>
      </c>
      <c r="L16" s="44">
        <f t="shared" si="2"/>
        <v>0.60577228036790354</v>
      </c>
      <c r="M16" s="44">
        <f t="shared" si="2"/>
        <v>0.42679704016913317</v>
      </c>
      <c r="N16" s="44">
        <f t="shared" si="2"/>
        <v>0.39664378337147216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70" style="15" customWidth="1"/>
    <col min="2" max="13" width="11" style="15" customWidth="1"/>
  </cols>
  <sheetData>
    <row r="1" spans="1:13" ht="15" customHeight="1" x14ac:dyDescent="0.25">
      <c r="A1" s="36" t="s">
        <v>119</v>
      </c>
    </row>
    <row r="2" spans="1:13" ht="15" customHeight="1" x14ac:dyDescent="0.25">
      <c r="A2" s="31" t="s">
        <v>80</v>
      </c>
    </row>
    <row r="4" spans="1:13" ht="15" customHeight="1" x14ac:dyDescent="0.25">
      <c r="A4" s="17" t="s">
        <v>81</v>
      </c>
      <c r="B4" s="17" t="s">
        <v>82</v>
      </c>
      <c r="C4" s="17" t="s">
        <v>83</v>
      </c>
      <c r="D4" s="17" t="s">
        <v>84</v>
      </c>
      <c r="E4" s="17" t="s">
        <v>85</v>
      </c>
      <c r="F4" s="17" t="s">
        <v>86</v>
      </c>
      <c r="G4" s="17" t="s">
        <v>87</v>
      </c>
      <c r="H4" s="17" t="s">
        <v>88</v>
      </c>
      <c r="I4" s="17" t="s">
        <v>89</v>
      </c>
      <c r="J4" s="17" t="s">
        <v>90</v>
      </c>
      <c r="K4" s="17" t="s">
        <v>91</v>
      </c>
      <c r="L4" s="17" t="s">
        <v>92</v>
      </c>
      <c r="M4" s="17" t="s">
        <v>9</v>
      </c>
    </row>
    <row r="5" spans="1:13" ht="15" customHeight="1" x14ac:dyDescent="0.25">
      <c r="A5" s="37" t="s">
        <v>120</v>
      </c>
      <c r="B5" s="38">
        <v>-362</v>
      </c>
      <c r="C5" s="38">
        <v>-1</v>
      </c>
      <c r="D5" s="38">
        <v>-48</v>
      </c>
      <c r="E5" s="38">
        <v>567</v>
      </c>
      <c r="F5" s="38">
        <v>403</v>
      </c>
      <c r="G5" s="38">
        <v>836</v>
      </c>
      <c r="H5" s="38">
        <v>407</v>
      </c>
      <c r="I5" s="38">
        <v>389</v>
      </c>
      <c r="J5" s="38">
        <v>514</v>
      </c>
      <c r="K5" s="38">
        <v>702</v>
      </c>
      <c r="L5" s="38">
        <v>688</v>
      </c>
      <c r="M5" s="38">
        <v>363</v>
      </c>
    </row>
    <row r="6" spans="1:13" ht="15" customHeight="1" x14ac:dyDescent="0.25">
      <c r="A6" s="37" t="s">
        <v>121</v>
      </c>
      <c r="B6" s="38">
        <v>-377</v>
      </c>
      <c r="C6" s="38">
        <v>-244</v>
      </c>
      <c r="D6" s="38">
        <v>272</v>
      </c>
      <c r="E6" s="38">
        <v>-222</v>
      </c>
      <c r="F6" s="38">
        <v>245</v>
      </c>
      <c r="G6" s="38">
        <v>-327</v>
      </c>
      <c r="H6" s="38">
        <v>-47</v>
      </c>
      <c r="I6" s="38">
        <v>7</v>
      </c>
      <c r="J6" s="38">
        <v>-121</v>
      </c>
      <c r="K6" s="38">
        <v>-224</v>
      </c>
      <c r="L6" s="38">
        <v>-132</v>
      </c>
      <c r="M6" s="38">
        <v>-15</v>
      </c>
    </row>
    <row r="7" spans="1:13" ht="15" customHeight="1" x14ac:dyDescent="0.25">
      <c r="A7" s="37" t="s">
        <v>122</v>
      </c>
      <c r="B7" s="38">
        <v>614</v>
      </c>
      <c r="C7" s="38">
        <v>229</v>
      </c>
      <c r="D7" s="38">
        <v>-311</v>
      </c>
      <c r="E7" s="38">
        <v>-343</v>
      </c>
      <c r="F7" s="38">
        <v>-578</v>
      </c>
      <c r="G7" s="38">
        <v>-513</v>
      </c>
      <c r="H7" s="38">
        <v>-367</v>
      </c>
      <c r="I7" s="38">
        <v>-311</v>
      </c>
      <c r="J7" s="38">
        <v>-340</v>
      </c>
      <c r="K7" s="38">
        <v>-541</v>
      </c>
      <c r="L7" s="38">
        <v>-429</v>
      </c>
      <c r="M7" s="38">
        <v>-283</v>
      </c>
    </row>
    <row r="8" spans="1:13" ht="15" customHeight="1" x14ac:dyDescent="0.25">
      <c r="A8" s="37" t="s">
        <v>123</v>
      </c>
      <c r="B8" s="38">
        <v>-125</v>
      </c>
      <c r="C8" s="38">
        <v>-16</v>
      </c>
      <c r="D8" s="38">
        <v>-86</v>
      </c>
      <c r="E8" s="38">
        <v>2</v>
      </c>
      <c r="F8" s="38">
        <v>70</v>
      </c>
      <c r="G8" s="38">
        <v>-4</v>
      </c>
      <c r="H8" s="38">
        <v>-7</v>
      </c>
      <c r="I8" s="38">
        <v>85</v>
      </c>
      <c r="J8" s="38">
        <v>54</v>
      </c>
      <c r="K8" s="38">
        <v>-63</v>
      </c>
      <c r="L8" s="38">
        <v>126</v>
      </c>
      <c r="M8" s="38">
        <v>66</v>
      </c>
    </row>
    <row r="9" spans="1:13" ht="15" customHeight="1" x14ac:dyDescent="0.25">
      <c r="A9" s="37" t="s">
        <v>124</v>
      </c>
      <c r="B9" s="38">
        <v>-697</v>
      </c>
      <c r="C9" s="38">
        <v>-241</v>
      </c>
      <c r="D9" s="38">
        <v>87</v>
      </c>
      <c r="E9" s="38">
        <v>459</v>
      </c>
      <c r="F9" s="38">
        <v>552</v>
      </c>
      <c r="G9" s="38">
        <v>523</v>
      </c>
      <c r="H9" s="38">
        <v>361</v>
      </c>
      <c r="I9" s="38">
        <v>275</v>
      </c>
      <c r="J9" s="38">
        <v>371</v>
      </c>
      <c r="K9" s="38">
        <v>534</v>
      </c>
      <c r="L9" s="38">
        <v>541</v>
      </c>
      <c r="M9" s="38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59" style="15" customWidth="1"/>
    <col min="2" max="13" width="11" style="15" customWidth="1"/>
  </cols>
  <sheetData>
    <row r="1" spans="1:13" ht="15" customHeight="1" x14ac:dyDescent="0.25">
      <c r="A1" s="36" t="s">
        <v>125</v>
      </c>
    </row>
    <row r="2" spans="1:13" ht="15" customHeight="1" x14ac:dyDescent="0.25">
      <c r="A2" s="31" t="s">
        <v>80</v>
      </c>
    </row>
    <row r="4" spans="1:13" ht="15" customHeight="1" x14ac:dyDescent="0.25">
      <c r="A4" s="17" t="s">
        <v>81</v>
      </c>
      <c r="B4" s="17" t="s">
        <v>82</v>
      </c>
      <c r="C4" s="17" t="s">
        <v>83</v>
      </c>
      <c r="D4" s="17" t="s">
        <v>84</v>
      </c>
      <c r="E4" s="17" t="s">
        <v>85</v>
      </c>
      <c r="F4" s="17" t="s">
        <v>86</v>
      </c>
      <c r="G4" s="17" t="s">
        <v>87</v>
      </c>
      <c r="H4" s="17" t="s">
        <v>88</v>
      </c>
      <c r="I4" s="17" t="s">
        <v>89</v>
      </c>
      <c r="J4" s="17" t="s">
        <v>90</v>
      </c>
      <c r="K4" s="17" t="s">
        <v>91</v>
      </c>
      <c r="L4" s="17" t="s">
        <v>92</v>
      </c>
      <c r="M4" s="17" t="s">
        <v>9</v>
      </c>
    </row>
    <row r="5" spans="1:13" ht="15" customHeight="1" x14ac:dyDescent="0.25">
      <c r="A5" s="37" t="s">
        <v>126</v>
      </c>
      <c r="B5" s="45">
        <v>53</v>
      </c>
      <c r="C5" s="45">
        <v>61</v>
      </c>
      <c r="D5" s="45">
        <v>46</v>
      </c>
      <c r="E5" s="45">
        <v>24</v>
      </c>
      <c r="F5" s="45">
        <v>39</v>
      </c>
      <c r="G5" s="45">
        <v>35</v>
      </c>
      <c r="H5" s="45">
        <v>46</v>
      </c>
      <c r="I5" s="45">
        <v>79</v>
      </c>
      <c r="J5" s="45">
        <v>61</v>
      </c>
      <c r="K5" s="45">
        <v>47</v>
      </c>
      <c r="L5" s="45">
        <v>44</v>
      </c>
      <c r="M5" s="45">
        <v>54</v>
      </c>
    </row>
    <row r="6" spans="1:13" ht="15" customHeight="1" x14ac:dyDescent="0.25">
      <c r="A6" s="37" t="s">
        <v>127</v>
      </c>
      <c r="B6" s="45">
        <v>77</v>
      </c>
      <c r="C6" s="45">
        <v>99</v>
      </c>
      <c r="D6" s="45">
        <v>108</v>
      </c>
      <c r="E6" s="45">
        <v>81</v>
      </c>
      <c r="F6" s="45">
        <v>132</v>
      </c>
      <c r="G6" s="45">
        <v>141</v>
      </c>
      <c r="H6" s="45">
        <v>121</v>
      </c>
      <c r="I6" s="45">
        <v>261</v>
      </c>
      <c r="J6" s="45">
        <v>140</v>
      </c>
      <c r="K6" s="45">
        <v>140</v>
      </c>
      <c r="L6" s="45">
        <v>117</v>
      </c>
      <c r="M6" s="45">
        <v>132</v>
      </c>
    </row>
    <row r="7" spans="1:13" ht="15" customHeight="1" x14ac:dyDescent="0.25">
      <c r="A7" s="37" t="s">
        <v>128</v>
      </c>
      <c r="B7" s="46">
        <v>0.08</v>
      </c>
      <c r="C7" s="46">
        <v>0.08</v>
      </c>
      <c r="D7" s="46">
        <v>7.0000000000000007E-2</v>
      </c>
      <c r="E7" s="46">
        <v>0.08</v>
      </c>
      <c r="F7" s="46">
        <v>0.11</v>
      </c>
      <c r="G7" s="46">
        <v>0.1</v>
      </c>
      <c r="H7" s="46">
        <v>0.06</v>
      </c>
      <c r="I7" s="46">
        <v>0.06</v>
      </c>
      <c r="J7" s="46">
        <v>0.12</v>
      </c>
      <c r="K7" s="46">
        <v>0.13</v>
      </c>
      <c r="L7" s="46">
        <v>0.14000000000000001</v>
      </c>
      <c r="M7" s="46">
        <v>0.15</v>
      </c>
    </row>
    <row r="9" spans="1:13" ht="15" customHeight="1" x14ac:dyDescent="0.25">
      <c r="A9" s="36" t="s">
        <v>129</v>
      </c>
    </row>
    <row r="10" spans="1:13" ht="15" customHeight="1" x14ac:dyDescent="0.25">
      <c r="A10" s="47" t="s">
        <v>81</v>
      </c>
      <c r="B10" s="47" t="s">
        <v>30</v>
      </c>
    </row>
    <row r="11" spans="1:13" ht="15" customHeight="1" x14ac:dyDescent="0.25">
      <c r="A11" s="37" t="s">
        <v>2</v>
      </c>
      <c r="B11" s="45">
        <v>2504</v>
      </c>
    </row>
    <row r="12" spans="1:13" ht="15" customHeight="1" x14ac:dyDescent="0.25">
      <c r="A12" s="37" t="s">
        <v>130</v>
      </c>
      <c r="B12" s="40">
        <v>25.3</v>
      </c>
    </row>
    <row r="13" spans="1:13" ht="15" customHeight="1" x14ac:dyDescent="0.25">
      <c r="A13" s="37" t="s">
        <v>131</v>
      </c>
      <c r="B13" s="48">
        <v>6.6</v>
      </c>
    </row>
    <row r="14" spans="1:13" ht="15" customHeight="1" x14ac:dyDescent="0.25">
      <c r="A14" s="37" t="s">
        <v>5</v>
      </c>
      <c r="B14" s="40">
        <v>39.6</v>
      </c>
    </row>
    <row r="15" spans="1:13" ht="15" customHeight="1" x14ac:dyDescent="0.25">
      <c r="A15" s="37" t="s">
        <v>132</v>
      </c>
      <c r="B15" s="46">
        <v>0</v>
      </c>
    </row>
    <row r="16" spans="1:13" ht="15" customHeight="1" x14ac:dyDescent="0.25">
      <c r="A16" s="37" t="s">
        <v>6</v>
      </c>
      <c r="B16" s="46">
        <v>0.154</v>
      </c>
    </row>
    <row r="17" spans="1:2" ht="15" customHeight="1" x14ac:dyDescent="0.25">
      <c r="A17" s="37" t="s">
        <v>7</v>
      </c>
      <c r="B17" s="46">
        <v>0.104</v>
      </c>
    </row>
    <row r="18" spans="1:2" ht="15" customHeight="1" x14ac:dyDescent="0.25">
      <c r="A18" s="37" t="s">
        <v>133</v>
      </c>
      <c r="B18" s="40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82" style="15" customWidth="1"/>
    <col min="2" max="14" width="10" style="15" customWidth="1"/>
  </cols>
  <sheetData>
    <row r="1" spans="1:14" ht="15" customHeight="1" x14ac:dyDescent="0.25">
      <c r="A1" s="36" t="s">
        <v>134</v>
      </c>
    </row>
    <row r="2" spans="1:14" ht="15" customHeight="1" x14ac:dyDescent="0.25">
      <c r="A2" s="31" t="s">
        <v>80</v>
      </c>
    </row>
    <row r="4" spans="1:14" ht="15" customHeight="1" x14ac:dyDescent="0.25">
      <c r="A4" s="17" t="s">
        <v>81</v>
      </c>
      <c r="B4" s="17" t="s">
        <v>135</v>
      </c>
      <c r="C4" s="17" t="s">
        <v>91</v>
      </c>
      <c r="D4" s="17" t="s">
        <v>136</v>
      </c>
      <c r="E4" s="17" t="s">
        <v>137</v>
      </c>
      <c r="F4" s="17" t="s">
        <v>138</v>
      </c>
      <c r="G4" s="17" t="s">
        <v>92</v>
      </c>
      <c r="H4" s="17" t="s">
        <v>139</v>
      </c>
      <c r="I4" s="17" t="s">
        <v>140</v>
      </c>
      <c r="J4" s="17" t="s">
        <v>141</v>
      </c>
      <c r="K4" s="17" t="s">
        <v>9</v>
      </c>
      <c r="L4" s="17" t="s">
        <v>142</v>
      </c>
      <c r="M4" s="17" t="s">
        <v>107</v>
      </c>
      <c r="N4" s="17" t="s">
        <v>143</v>
      </c>
    </row>
    <row r="5" spans="1:14" ht="15" customHeight="1" x14ac:dyDescent="0.25">
      <c r="A5" s="37" t="s">
        <v>94</v>
      </c>
      <c r="B5" s="38">
        <v>955</v>
      </c>
      <c r="C5" s="38">
        <v>1205</v>
      </c>
      <c r="D5" s="38">
        <v>1119</v>
      </c>
      <c r="E5" s="38">
        <v>1021</v>
      </c>
      <c r="F5" s="38">
        <v>1061</v>
      </c>
      <c r="G5" s="38">
        <v>1343</v>
      </c>
      <c r="H5" s="38">
        <v>1102</v>
      </c>
      <c r="I5" s="38">
        <v>1174</v>
      </c>
      <c r="J5" s="38">
        <v>1206</v>
      </c>
      <c r="K5" s="38">
        <v>1612</v>
      </c>
      <c r="L5" s="38">
        <v>1233</v>
      </c>
      <c r="M5" s="38">
        <v>1208</v>
      </c>
      <c r="N5" s="38">
        <v>1239</v>
      </c>
    </row>
    <row r="6" spans="1:14" ht="15" customHeight="1" x14ac:dyDescent="0.25">
      <c r="A6" s="37" t="s">
        <v>95</v>
      </c>
      <c r="B6" s="38">
        <v>814</v>
      </c>
      <c r="C6" s="38">
        <v>1036</v>
      </c>
      <c r="D6" s="38">
        <v>948</v>
      </c>
      <c r="E6" s="38">
        <v>881</v>
      </c>
      <c r="F6" s="38">
        <v>919</v>
      </c>
      <c r="G6" s="38">
        <v>1106</v>
      </c>
      <c r="H6" s="38">
        <v>933</v>
      </c>
      <c r="I6" s="38">
        <v>1012</v>
      </c>
      <c r="J6" s="38">
        <v>1022</v>
      </c>
      <c r="K6" s="38">
        <v>1394</v>
      </c>
      <c r="L6" s="38">
        <v>1068</v>
      </c>
      <c r="M6" s="38">
        <v>1050</v>
      </c>
      <c r="N6" s="38">
        <v>1095</v>
      </c>
    </row>
    <row r="7" spans="1:14" ht="15" customHeight="1" x14ac:dyDescent="0.25">
      <c r="A7" s="37" t="s">
        <v>96</v>
      </c>
      <c r="B7" s="38">
        <v>140</v>
      </c>
      <c r="C7" s="38">
        <v>169</v>
      </c>
      <c r="D7" s="38">
        <v>171</v>
      </c>
      <c r="E7" s="38">
        <v>140</v>
      </c>
      <c r="F7" s="38">
        <v>142</v>
      </c>
      <c r="G7" s="38">
        <v>238</v>
      </c>
      <c r="H7" s="38">
        <v>169</v>
      </c>
      <c r="I7" s="38">
        <v>162</v>
      </c>
      <c r="J7" s="38">
        <v>184</v>
      </c>
      <c r="K7" s="38">
        <v>218</v>
      </c>
      <c r="L7" s="38">
        <v>165</v>
      </c>
      <c r="M7" s="38">
        <v>159</v>
      </c>
      <c r="N7" s="38">
        <v>145</v>
      </c>
    </row>
    <row r="8" spans="1:14" ht="15" customHeight="1" x14ac:dyDescent="0.25">
      <c r="A8" s="37" t="s">
        <v>97</v>
      </c>
      <c r="B8" s="38">
        <v>26</v>
      </c>
      <c r="C8" s="38">
        <v>35</v>
      </c>
      <c r="D8" s="38">
        <v>12</v>
      </c>
      <c r="E8" s="38">
        <v>24</v>
      </c>
      <c r="F8" s="38">
        <v>52</v>
      </c>
      <c r="G8" s="38">
        <v>75</v>
      </c>
      <c r="H8" s="38">
        <v>25</v>
      </c>
      <c r="I8" s="38">
        <v>42</v>
      </c>
      <c r="J8" s="38">
        <v>10</v>
      </c>
      <c r="K8" s="38">
        <v>-62</v>
      </c>
      <c r="L8" s="38">
        <v>39</v>
      </c>
      <c r="M8" s="38">
        <v>32</v>
      </c>
      <c r="N8" s="38">
        <v>-14</v>
      </c>
    </row>
    <row r="9" spans="1:14" ht="15" customHeight="1" x14ac:dyDescent="0.25">
      <c r="A9" s="37" t="s">
        <v>98</v>
      </c>
      <c r="B9" s="38">
        <v>105</v>
      </c>
      <c r="C9" s="38">
        <v>104</v>
      </c>
      <c r="D9" s="38">
        <v>88</v>
      </c>
      <c r="E9" s="38">
        <v>92</v>
      </c>
      <c r="F9" s="38">
        <v>89</v>
      </c>
      <c r="G9" s="38">
        <v>93</v>
      </c>
      <c r="H9" s="38">
        <v>84</v>
      </c>
      <c r="I9" s="38">
        <v>79</v>
      </c>
      <c r="J9" s="38">
        <v>80</v>
      </c>
      <c r="K9" s="38">
        <v>79</v>
      </c>
      <c r="L9" s="38">
        <v>73</v>
      </c>
      <c r="M9" s="38">
        <v>76</v>
      </c>
      <c r="N9" s="38">
        <v>68</v>
      </c>
    </row>
    <row r="10" spans="1:14" ht="15" customHeight="1" x14ac:dyDescent="0.25">
      <c r="A10" s="37" t="s">
        <v>99</v>
      </c>
      <c r="B10" s="38">
        <v>21</v>
      </c>
      <c r="C10" s="38">
        <v>21</v>
      </c>
      <c r="D10" s="38">
        <v>22</v>
      </c>
      <c r="E10" s="38">
        <v>23</v>
      </c>
      <c r="F10" s="38">
        <v>23</v>
      </c>
      <c r="G10" s="38">
        <v>29</v>
      </c>
      <c r="H10" s="38">
        <v>26</v>
      </c>
      <c r="I10" s="38">
        <v>24</v>
      </c>
      <c r="J10" s="38">
        <v>24</v>
      </c>
      <c r="K10" s="38">
        <v>26</v>
      </c>
      <c r="L10" s="38">
        <v>25</v>
      </c>
      <c r="M10" s="38">
        <v>26</v>
      </c>
      <c r="N10" s="38">
        <v>26</v>
      </c>
    </row>
    <row r="11" spans="1:14" ht="15" customHeight="1" x14ac:dyDescent="0.25">
      <c r="A11" s="37" t="s">
        <v>100</v>
      </c>
      <c r="B11" s="38">
        <v>40</v>
      </c>
      <c r="C11" s="38">
        <v>80</v>
      </c>
      <c r="D11" s="38">
        <v>72</v>
      </c>
      <c r="E11" s="38">
        <v>49</v>
      </c>
      <c r="F11" s="38">
        <v>82</v>
      </c>
      <c r="G11" s="38">
        <v>190</v>
      </c>
      <c r="H11" s="38">
        <v>83</v>
      </c>
      <c r="I11" s="38">
        <v>101</v>
      </c>
      <c r="J11" s="38">
        <v>89</v>
      </c>
      <c r="K11" s="38">
        <v>52</v>
      </c>
      <c r="L11" s="38">
        <v>105</v>
      </c>
      <c r="M11" s="38">
        <v>89</v>
      </c>
      <c r="N11" s="38">
        <v>37</v>
      </c>
    </row>
    <row r="12" spans="1:14" ht="15" customHeight="1" x14ac:dyDescent="0.25">
      <c r="A12" s="37" t="s">
        <v>102</v>
      </c>
      <c r="B12" s="38">
        <v>24</v>
      </c>
      <c r="C12" s="38">
        <v>82</v>
      </c>
      <c r="D12" s="38">
        <v>43</v>
      </c>
      <c r="E12" s="38">
        <v>38</v>
      </c>
      <c r="F12" s="38">
        <v>69</v>
      </c>
      <c r="G12" s="38">
        <v>140</v>
      </c>
      <c r="H12" s="38">
        <v>55</v>
      </c>
      <c r="I12" s="38">
        <v>73</v>
      </c>
      <c r="J12" s="38">
        <v>82</v>
      </c>
      <c r="K12" s="38">
        <v>38</v>
      </c>
      <c r="L12" s="38">
        <v>81</v>
      </c>
      <c r="M12" s="38">
        <v>73</v>
      </c>
      <c r="N12" s="38">
        <v>72</v>
      </c>
    </row>
    <row r="13" spans="1:14" ht="15" customHeight="1" x14ac:dyDescent="0.25">
      <c r="A13" s="37" t="s">
        <v>103</v>
      </c>
      <c r="B13" s="40">
        <v>0.27</v>
      </c>
      <c r="C13" s="40">
        <v>0.9</v>
      </c>
      <c r="D13" s="40">
        <v>0.43</v>
      </c>
      <c r="E13" s="40">
        <v>0.41</v>
      </c>
      <c r="F13" s="40">
        <v>0.76</v>
      </c>
      <c r="G13" s="40">
        <v>1.38</v>
      </c>
      <c r="H13" s="40">
        <v>0.54</v>
      </c>
      <c r="I13" s="40">
        <v>0.74</v>
      </c>
      <c r="J13" s="40">
        <v>0.8</v>
      </c>
      <c r="K13" s="40">
        <v>0.36</v>
      </c>
      <c r="L13" s="40">
        <v>0.78</v>
      </c>
      <c r="M13" s="40">
        <v>0.72</v>
      </c>
      <c r="N13" s="40">
        <v>0.71</v>
      </c>
    </row>
    <row r="14" spans="1:14" ht="15" customHeight="1" x14ac:dyDescent="0.25">
      <c r="A14" s="37" t="s">
        <v>104</v>
      </c>
      <c r="B14" s="41">
        <f t="shared" ref="B14:N14" si="0">B7/B5</f>
        <v>0.14659685863874344</v>
      </c>
      <c r="C14" s="41">
        <f t="shared" si="0"/>
        <v>0.14024896265560166</v>
      </c>
      <c r="D14" s="41">
        <f t="shared" si="0"/>
        <v>0.15281501340482573</v>
      </c>
      <c r="E14" s="41">
        <f t="shared" si="0"/>
        <v>0.13712047012732614</v>
      </c>
      <c r="F14" s="41">
        <f t="shared" si="0"/>
        <v>0.13383600377002827</v>
      </c>
      <c r="G14" s="41">
        <f t="shared" si="0"/>
        <v>0.17721518987341772</v>
      </c>
      <c r="H14" s="41">
        <f t="shared" si="0"/>
        <v>0.15335753176043557</v>
      </c>
      <c r="I14" s="41">
        <f t="shared" si="0"/>
        <v>0.13798977853492334</v>
      </c>
      <c r="J14" s="41">
        <f t="shared" si="0"/>
        <v>0.15257048092868988</v>
      </c>
      <c r="K14" s="41">
        <f t="shared" si="0"/>
        <v>0.13523573200992556</v>
      </c>
      <c r="L14" s="41">
        <f t="shared" si="0"/>
        <v>0.13381995133819952</v>
      </c>
      <c r="M14" s="41">
        <f t="shared" si="0"/>
        <v>0.1316225165562914</v>
      </c>
      <c r="N14" s="41">
        <f t="shared" si="0"/>
        <v>0.11702986279257466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style="15" customWidth="1"/>
    <col min="2" max="13" width="10" style="15" customWidth="1"/>
  </cols>
  <sheetData>
    <row r="1" spans="1:13" ht="15" customHeight="1" x14ac:dyDescent="0.25">
      <c r="A1" s="36" t="s">
        <v>144</v>
      </c>
    </row>
    <row r="2" spans="1:13" ht="15" customHeight="1" x14ac:dyDescent="0.25">
      <c r="A2" s="31" t="s">
        <v>80</v>
      </c>
    </row>
    <row r="4" spans="1:13" ht="15" customHeight="1" x14ac:dyDescent="0.25">
      <c r="A4" s="17" t="s">
        <v>145</v>
      </c>
      <c r="B4" s="17" t="s">
        <v>91</v>
      </c>
      <c r="C4" s="17" t="s">
        <v>136</v>
      </c>
      <c r="D4" s="17" t="s">
        <v>137</v>
      </c>
      <c r="E4" s="17" t="s">
        <v>138</v>
      </c>
      <c r="F4" s="17" t="s">
        <v>92</v>
      </c>
      <c r="G4" s="17" t="s">
        <v>139</v>
      </c>
      <c r="H4" s="17" t="s">
        <v>140</v>
      </c>
      <c r="I4" s="17" t="s">
        <v>141</v>
      </c>
      <c r="J4" s="17" t="s">
        <v>9</v>
      </c>
      <c r="K4" s="17" t="s">
        <v>142</v>
      </c>
      <c r="L4" s="17" t="s">
        <v>107</v>
      </c>
      <c r="M4" s="17" t="s">
        <v>143</v>
      </c>
    </row>
    <row r="5" spans="1:13" ht="15" customHeight="1" x14ac:dyDescent="0.25">
      <c r="A5" s="37" t="s">
        <v>146</v>
      </c>
      <c r="B5" s="46">
        <v>0.39419999999999999</v>
      </c>
      <c r="C5" s="46">
        <v>0.39419999999999999</v>
      </c>
      <c r="D5" s="46">
        <v>0.39419999999999999</v>
      </c>
      <c r="E5" s="46">
        <v>0.39419999999999999</v>
      </c>
      <c r="F5" s="46">
        <v>0.39419999999999999</v>
      </c>
      <c r="G5" s="46">
        <v>0.36109999999999998</v>
      </c>
      <c r="H5" s="46">
        <v>0.36109999999999998</v>
      </c>
      <c r="I5" s="46">
        <v>0.36109999999999998</v>
      </c>
      <c r="J5" s="46">
        <v>0.36109999999999998</v>
      </c>
      <c r="K5" s="46">
        <v>0.36109999999999998</v>
      </c>
      <c r="L5" s="46">
        <v>0.36109999999999998</v>
      </c>
      <c r="M5" s="46">
        <v>0.31480000000000002</v>
      </c>
    </row>
    <row r="6" spans="1:13" ht="15" customHeight="1" x14ac:dyDescent="0.25">
      <c r="A6" s="37" t="s">
        <v>147</v>
      </c>
      <c r="B6" s="46">
        <v>2.1000000000000001E-2</v>
      </c>
      <c r="C6" s="46">
        <v>2.3800000000000002E-2</v>
      </c>
      <c r="D6" s="46">
        <v>2.3599999999999999E-2</v>
      </c>
      <c r="E6" s="46">
        <v>2.8299999999999999E-2</v>
      </c>
      <c r="F6" s="46">
        <v>3.3700000000000001E-2</v>
      </c>
      <c r="G6" s="46">
        <v>3.6799999999999999E-2</v>
      </c>
      <c r="H6" s="46">
        <v>3.09E-2</v>
      </c>
      <c r="I6" s="46">
        <v>4.7399999999999998E-2</v>
      </c>
      <c r="J6" s="46">
        <v>5.0099999999999999E-2</v>
      </c>
      <c r="K6" s="46">
        <v>2.7099999999999999E-2</v>
      </c>
      <c r="L6" s="46">
        <v>2.53E-2</v>
      </c>
      <c r="M6" s="46">
        <v>2.52E-2</v>
      </c>
    </row>
    <row r="7" spans="1:13" ht="15" customHeight="1" x14ac:dyDescent="0.25">
      <c r="A7" s="37" t="s">
        <v>148</v>
      </c>
      <c r="B7" s="46">
        <v>9.1999999999999998E-2</v>
      </c>
      <c r="C7" s="46">
        <v>9.2499999999999999E-2</v>
      </c>
      <c r="D7" s="46">
        <v>6.25E-2</v>
      </c>
      <c r="E7" s="46">
        <v>5.5899999999999998E-2</v>
      </c>
      <c r="F7" s="46">
        <v>4.48E-2</v>
      </c>
      <c r="G7" s="46">
        <v>6.2199999999999998E-2</v>
      </c>
      <c r="H7" s="46">
        <v>4.4499999999999998E-2</v>
      </c>
      <c r="I7" s="46">
        <v>4.5100000000000001E-2</v>
      </c>
      <c r="J7" s="46">
        <v>4.7E-2</v>
      </c>
      <c r="K7" s="46">
        <v>4.9099999999999998E-2</v>
      </c>
      <c r="L7" s="46">
        <v>4.7500000000000001E-2</v>
      </c>
      <c r="M7" s="46">
        <v>5.8099999999999999E-2</v>
      </c>
    </row>
    <row r="8" spans="1:13" ht="15" customHeight="1" x14ac:dyDescent="0.25">
      <c r="A8" s="37" t="s">
        <v>149</v>
      </c>
      <c r="B8" s="46">
        <v>0.44490000000000002</v>
      </c>
      <c r="C8" s="46">
        <v>0.4415</v>
      </c>
      <c r="D8" s="46">
        <v>0.4718</v>
      </c>
      <c r="E8" s="46">
        <v>0.47370000000000001</v>
      </c>
      <c r="F8" s="46">
        <v>0.4793</v>
      </c>
      <c r="G8" s="46">
        <v>0.49590000000000001</v>
      </c>
      <c r="H8" s="46">
        <v>0.51959999999999995</v>
      </c>
      <c r="I8" s="46">
        <v>0.50229999999999997</v>
      </c>
      <c r="J8" s="46">
        <v>0.498</v>
      </c>
      <c r="K8" s="46">
        <v>0.51880000000000004</v>
      </c>
      <c r="L8" s="46">
        <v>0.52210000000000001</v>
      </c>
      <c r="M8" s="46">
        <v>0.56430000000000002</v>
      </c>
    </row>
    <row r="9" spans="1:13" ht="15" customHeight="1" x14ac:dyDescent="0.25">
      <c r="A9" s="37" t="s">
        <v>150</v>
      </c>
      <c r="B9" s="46">
        <v>4.7899999999999998E-2</v>
      </c>
      <c r="C9" s="46">
        <v>4.7899999999999998E-2</v>
      </c>
      <c r="D9" s="46">
        <v>4.7899999999999998E-2</v>
      </c>
      <c r="E9" s="46">
        <v>4.7899999999999998E-2</v>
      </c>
      <c r="F9" s="46">
        <v>4.7899999999999998E-2</v>
      </c>
      <c r="G9" s="46">
        <v>4.3900000000000002E-2</v>
      </c>
      <c r="H9" s="46">
        <v>4.3900000000000002E-2</v>
      </c>
      <c r="I9" s="46">
        <v>4.3900000000000002E-2</v>
      </c>
      <c r="J9" s="46">
        <v>4.3900000000000002E-2</v>
      </c>
      <c r="K9" s="46">
        <v>4.3900000000000002E-2</v>
      </c>
      <c r="L9" s="46">
        <v>4.3900000000000002E-2</v>
      </c>
      <c r="M9" s="46">
        <v>3.7400000000000003E-2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5" sqref="C5"/>
    </sheetView>
  </sheetViews>
  <sheetFormatPr defaultColWidth="8.7109375" defaultRowHeight="15" x14ac:dyDescent="0.25"/>
  <cols>
    <col min="1" max="1" width="87" style="15" customWidth="1"/>
    <col min="2" max="14" width="11" style="15" customWidth="1"/>
  </cols>
  <sheetData>
    <row r="1" spans="1:3" ht="15" customHeight="1" x14ac:dyDescent="0.25">
      <c r="A1" s="36" t="s">
        <v>151</v>
      </c>
    </row>
    <row r="2" spans="1:3" ht="15" customHeight="1" x14ac:dyDescent="0.25">
      <c r="A2" s="31" t="s">
        <v>152</v>
      </c>
    </row>
    <row r="4" spans="1:3" ht="15.75" customHeight="1" x14ac:dyDescent="0.25">
      <c r="A4" s="49" t="s">
        <v>153</v>
      </c>
    </row>
    <row r="5" spans="1:3" ht="15" customHeight="1" x14ac:dyDescent="0.25">
      <c r="A5" s="17" t="s">
        <v>81</v>
      </c>
      <c r="B5" s="17" t="s">
        <v>30</v>
      </c>
      <c r="C5" s="17" t="s">
        <v>154</v>
      </c>
    </row>
    <row r="6" spans="1:3" ht="15" customHeight="1" x14ac:dyDescent="0.25">
      <c r="A6" s="50" t="s">
        <v>155</v>
      </c>
      <c r="B6" s="46">
        <v>0.86580000000000001</v>
      </c>
      <c r="C6" s="51" t="s">
        <v>156</v>
      </c>
    </row>
    <row r="7" spans="1:3" ht="15" customHeight="1" x14ac:dyDescent="0.25">
      <c r="A7" s="50" t="s">
        <v>26</v>
      </c>
      <c r="B7" s="45">
        <v>2681</v>
      </c>
      <c r="C7" s="51" t="s">
        <v>157</v>
      </c>
    </row>
    <row r="8" spans="1:3" ht="15" customHeight="1" x14ac:dyDescent="0.25">
      <c r="A8" s="50" t="s">
        <v>39</v>
      </c>
      <c r="B8" s="48">
        <v>0.23</v>
      </c>
      <c r="C8" s="51" t="s">
        <v>158</v>
      </c>
    </row>
    <row r="9" spans="1:3" ht="15" customHeight="1" x14ac:dyDescent="0.25">
      <c r="A9" s="50" t="s">
        <v>159</v>
      </c>
      <c r="B9" s="48">
        <v>3.94</v>
      </c>
      <c r="C9" s="51" t="s">
        <v>160</v>
      </c>
    </row>
    <row r="10" spans="1:3" ht="15" customHeight="1" x14ac:dyDescent="0.25">
      <c r="A10" s="50" t="s">
        <v>161</v>
      </c>
      <c r="B10" s="48">
        <v>1.48</v>
      </c>
      <c r="C10" s="51" t="s">
        <v>162</v>
      </c>
    </row>
    <row r="11" spans="1:3" ht="15" customHeight="1" x14ac:dyDescent="0.25">
      <c r="A11" s="50" t="s">
        <v>46</v>
      </c>
      <c r="B11" s="46">
        <v>0.13189999999999999</v>
      </c>
      <c r="C11" s="51" t="s">
        <v>163</v>
      </c>
    </row>
    <row r="12" spans="1:3" ht="15" customHeight="1" x14ac:dyDescent="0.25">
      <c r="A12" s="50" t="s">
        <v>164</v>
      </c>
      <c r="B12" s="46">
        <v>0.83250000000000002</v>
      </c>
      <c r="C12" s="51" t="s">
        <v>165</v>
      </c>
    </row>
    <row r="13" spans="1:3" ht="15" customHeight="1" x14ac:dyDescent="0.25">
      <c r="A13" s="50" t="s">
        <v>166</v>
      </c>
      <c r="B13" s="46">
        <v>0.80659999999999998</v>
      </c>
      <c r="C13" s="51" t="s">
        <v>167</v>
      </c>
    </row>
    <row r="14" spans="1:3" ht="15" customHeight="1" x14ac:dyDescent="0.25">
      <c r="A14" s="50" t="s">
        <v>168</v>
      </c>
      <c r="B14" s="45">
        <v>45</v>
      </c>
      <c r="C14" s="51" t="s">
        <v>169</v>
      </c>
    </row>
    <row r="16" spans="1:3" ht="15" customHeight="1" x14ac:dyDescent="0.25">
      <c r="A16" s="31" t="s">
        <v>170</v>
      </c>
    </row>
    <row r="18" spans="1:13" ht="15.75" customHeight="1" x14ac:dyDescent="0.25">
      <c r="A18" s="49" t="s">
        <v>171</v>
      </c>
    </row>
    <row r="19" spans="1:13" ht="15" customHeight="1" x14ac:dyDescent="0.25">
      <c r="A19" s="17" t="s">
        <v>81</v>
      </c>
      <c r="B19" s="17" t="str">
        <f>Data_PL!B4</f>
        <v>Mar 2014</v>
      </c>
      <c r="C19" s="17" t="str">
        <f>Data_PL!C4</f>
        <v>Mar 2015</v>
      </c>
      <c r="D19" s="17" t="str">
        <f>Data_PL!D4</f>
        <v>Mar 2016</v>
      </c>
      <c r="E19" s="17" t="str">
        <f>Data_PL!E4</f>
        <v>Mar 2017</v>
      </c>
      <c r="F19" s="17" t="str">
        <f>Data_PL!F4</f>
        <v>Mar 2018</v>
      </c>
      <c r="G19" s="17" t="str">
        <f>Data_PL!G4</f>
        <v>Mar 2019</v>
      </c>
      <c r="H19" s="17" t="str">
        <f>Data_PL!H4</f>
        <v>Mar 2020</v>
      </c>
      <c r="I19" s="17" t="str">
        <f>Data_PL!I4</f>
        <v>Mar 2021</v>
      </c>
      <c r="J19" s="17" t="str">
        <f>Data_PL!J4</f>
        <v>Mar 2022</v>
      </c>
      <c r="K19" s="17" t="str">
        <f>Data_PL!K4</f>
        <v>Mar 2023</v>
      </c>
      <c r="L19" s="17" t="str">
        <f>Data_PL!L4</f>
        <v>Mar 2024</v>
      </c>
      <c r="M19" s="15" t="str">
        <f>Data_PL!M4</f>
        <v>Mar 2025</v>
      </c>
    </row>
    <row r="20" spans="1:13" ht="15" customHeight="1" x14ac:dyDescent="0.25">
      <c r="A20" s="50" t="s">
        <v>172</v>
      </c>
      <c r="B20" s="52">
        <f>(Data_PL!B11+Data_PL!B9)/Data_PL!B9</f>
        <v>1.1050228310502284</v>
      </c>
      <c r="C20" s="52">
        <f>(Data_PL!C11+Data_PL!C9)/Data_PL!C9</f>
        <v>1.0620155038759691</v>
      </c>
      <c r="D20" s="52">
        <f>(Data_PL!D11+Data_PL!D9)/Data_PL!D9</f>
        <v>0.64119601328903653</v>
      </c>
      <c r="E20" s="52">
        <f>(Data_PL!E11+Data_PL!E9)/Data_PL!E9</f>
        <v>0.87737478411053538</v>
      </c>
      <c r="F20" s="52">
        <f>(Data_PL!F11+Data_PL!F9)/Data_PL!F9</f>
        <v>1.1922290388548058</v>
      </c>
      <c r="G20" s="52">
        <f>(Data_PL!G11+Data_PL!G9)/Data_PL!G9</f>
        <v>1.5513513513513513</v>
      </c>
      <c r="H20" s="52">
        <f>(Data_PL!H11+Data_PL!H9)/Data_PL!H9</f>
        <v>1.2067669172932332</v>
      </c>
      <c r="I20" s="52">
        <f>(Data_PL!I11+Data_PL!I9)/Data_PL!I9</f>
        <v>0.14214463840399003</v>
      </c>
      <c r="J20" s="52">
        <f>(Data_PL!J11+Data_PL!J9)/Data_PL!J9</f>
        <v>1.2666666666666666</v>
      </c>
      <c r="K20" s="52">
        <f>(Data_PL!K11+Data_PL!K9)/Data_PL!K9</f>
        <v>1.529126213592233</v>
      </c>
      <c r="L20" s="52">
        <f>(Data_PL!L11+Data_PL!L9)/Data_PL!L9</f>
        <v>2.0856353591160222</v>
      </c>
      <c r="M20" s="52">
        <f>(Data_PL!M11+Data_PL!M9)/Data_PL!M9</f>
        <v>2.012422360248447</v>
      </c>
    </row>
    <row r="21" spans="1:13" ht="15" customHeight="1" x14ac:dyDescent="0.25">
      <c r="A21" s="50" t="s">
        <v>37</v>
      </c>
      <c r="B21" s="52">
        <f>Data_BS!B7/Data_PL!B7</f>
        <v>9.5888650963597435</v>
      </c>
      <c r="C21" s="52">
        <f>Data_BS!C7/Data_PL!C7</f>
        <v>10.409274193548388</v>
      </c>
      <c r="D21" s="52">
        <f>Data_BS!D7/Data_PL!D7</f>
        <v>13.521303258145364</v>
      </c>
      <c r="E21" s="52">
        <f>Data_BS!E7/Data_PL!E7</f>
        <v>11.833729216152019</v>
      </c>
      <c r="F21" s="52">
        <f>Data_BS!F7/Data_PL!F7</f>
        <v>5.4802259887005649</v>
      </c>
      <c r="G21" s="52">
        <f>Data_BS!G7/Data_PL!G7</f>
        <v>7.1564986737400531</v>
      </c>
      <c r="H21" s="52">
        <f>Data_BS!H7/Data_PL!H7</f>
        <v>12.41081081081081</v>
      </c>
      <c r="I21" s="52">
        <f>Data_BS!I7/Data_PL!I7</f>
        <v>9.4098360655737707</v>
      </c>
      <c r="J21" s="52">
        <f>Data_BS!J7/Data_PL!J7</f>
        <v>4.3245283018867928</v>
      </c>
      <c r="K21" s="52">
        <f>Data_BS!K7/Data_PL!K7</f>
        <v>3.1281138790035588</v>
      </c>
      <c r="L21" s="52">
        <f>Data_BS!L7/Data_PL!L7</f>
        <v>2.7681159420289854</v>
      </c>
      <c r="M21" s="52">
        <f>Data_BS!M7/Data_PL!M7</f>
        <v>2.1562082777036049</v>
      </c>
    </row>
    <row r="22" spans="1:13" ht="15" customHeight="1" x14ac:dyDescent="0.25">
      <c r="A22" s="50" t="s">
        <v>173</v>
      </c>
      <c r="B22" s="52">
        <f>Data_BS!B16</f>
        <v>2.497490239821528</v>
      </c>
      <c r="C22" s="52">
        <f>Data_BS!C16</f>
        <v>2.7274167987321714</v>
      </c>
      <c r="D22" s="52">
        <f>Data_BS!D16</f>
        <v>3.1494454173963806</v>
      </c>
      <c r="E22" s="52">
        <f>Data_BS!E16</f>
        <v>2.3291257597007946</v>
      </c>
      <c r="F22" s="52">
        <f>Data_BS!F16</f>
        <v>1.3472222222222223</v>
      </c>
      <c r="G22" s="52">
        <f>Data_BS!G16</f>
        <v>1.1854130052724077</v>
      </c>
      <c r="H22" s="52">
        <f>Data_BS!H16</f>
        <v>0.90145268943855517</v>
      </c>
      <c r="I22" s="52">
        <f>Data_BS!I16</f>
        <v>0.98965517241379308</v>
      </c>
      <c r="J22" s="52">
        <f>Data_BS!J16</f>
        <v>0.96140939597315433</v>
      </c>
      <c r="K22" s="52">
        <f>Data_BS!K16</f>
        <v>0.6087257617728532</v>
      </c>
      <c r="L22" s="52">
        <f>Data_BS!L16</f>
        <v>0.60577228036790354</v>
      </c>
      <c r="M22" s="52">
        <f>Data_BS!M16</f>
        <v>0.42679704016913317</v>
      </c>
    </row>
    <row r="24" spans="1:13" ht="15.75" customHeight="1" x14ac:dyDescent="0.25">
      <c r="A24" s="49" t="s">
        <v>174</v>
      </c>
    </row>
    <row r="25" spans="1:13" ht="15" customHeight="1" x14ac:dyDescent="0.25">
      <c r="A25" s="53" t="s">
        <v>175</v>
      </c>
      <c r="B25" s="54">
        <v>0.01</v>
      </c>
    </row>
    <row r="27" spans="1:13" ht="15" customHeight="1" x14ac:dyDescent="0.25">
      <c r="A27" s="50" t="s">
        <v>176</v>
      </c>
      <c r="B27" s="45">
        <f>Data_BS!$M$7</f>
        <v>1615</v>
      </c>
    </row>
    <row r="28" spans="1:13" ht="15" customHeight="1" x14ac:dyDescent="0.25">
      <c r="A28" s="50" t="s">
        <v>177</v>
      </c>
      <c r="B28" s="55">
        <f>Data_BS!$M$7*$B$25</f>
        <v>16.149999999999999</v>
      </c>
    </row>
    <row r="29" spans="1:13" ht="15" customHeight="1" x14ac:dyDescent="0.25">
      <c r="A29" s="50" t="s">
        <v>178</v>
      </c>
      <c r="B29" s="45">
        <f>Data_PL!$M$9</f>
        <v>322</v>
      </c>
    </row>
    <row r="30" spans="1:13" ht="15" customHeight="1" x14ac:dyDescent="0.25">
      <c r="A30" s="50" t="s">
        <v>179</v>
      </c>
      <c r="B30" s="56">
        <f>B29+B28</f>
        <v>338.15</v>
      </c>
    </row>
    <row r="31" spans="1:13" ht="15" customHeight="1" x14ac:dyDescent="0.25">
      <c r="A31" s="50" t="s">
        <v>180</v>
      </c>
      <c r="B31" s="45">
        <f>Data_PL!$M$11</f>
        <v>326</v>
      </c>
    </row>
    <row r="32" spans="1:13" ht="15" customHeight="1" x14ac:dyDescent="0.25">
      <c r="A32" s="50" t="s">
        <v>181</v>
      </c>
      <c r="B32" s="56">
        <f>B31-B28</f>
        <v>309.85000000000002</v>
      </c>
    </row>
    <row r="33" spans="1:2" ht="15" customHeight="1" x14ac:dyDescent="0.25">
      <c r="A33" s="50" t="s">
        <v>182</v>
      </c>
      <c r="B33" s="46">
        <f>Data_PL!$M$12</f>
        <v>0.27</v>
      </c>
    </row>
    <row r="34" spans="1:2" ht="15" customHeight="1" x14ac:dyDescent="0.25">
      <c r="A34" s="50" t="s">
        <v>68</v>
      </c>
      <c r="B34" s="45">
        <f>Data_PL!$M$13</f>
        <v>248</v>
      </c>
    </row>
    <row r="35" spans="1:2" ht="15" customHeight="1" x14ac:dyDescent="0.25">
      <c r="A35" s="50" t="s">
        <v>69</v>
      </c>
      <c r="B35" s="56">
        <f>B32*(1-B33)</f>
        <v>226.19050000000001</v>
      </c>
    </row>
    <row r="36" spans="1:2" ht="15" customHeight="1" x14ac:dyDescent="0.25">
      <c r="A36" s="50" t="s">
        <v>70</v>
      </c>
      <c r="B36" s="57">
        <f>B35-B34</f>
        <v>-21.809499999999986</v>
      </c>
    </row>
    <row r="37" spans="1:2" ht="15" customHeight="1" x14ac:dyDescent="0.25">
      <c r="A37" s="50" t="s">
        <v>71</v>
      </c>
      <c r="B37" s="58">
        <f>B36/B34</f>
        <v>-8.7941532258064462E-2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Risk_Dashboard</vt:lpstr>
      <vt:lpstr>Data_PL</vt:lpstr>
      <vt:lpstr>Data_BS</vt:lpstr>
      <vt:lpstr>Data_CF</vt:lpstr>
      <vt:lpstr>Data_Ratios</vt:lpstr>
      <vt:lpstr>Data_Quarterly</vt:lpstr>
      <vt:lpstr>Data_Shareholding</vt:lpstr>
      <vt:lpstr>Data_Risk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3</cp:revision>
  <dcterms:created xsi:type="dcterms:W3CDTF">2026-07-05T16:11:41Z</dcterms:created>
  <dcterms:modified xsi:type="dcterms:W3CDTF">2026-07-08T06:00:08Z</dcterms:modified>
  <dc:language>en-US</dc:language>
</cp:coreProperties>
</file>